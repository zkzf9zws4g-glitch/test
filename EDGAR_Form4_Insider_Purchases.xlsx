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unnel" sheetId="2" state="visible" r:id="rId2"/>
    <sheet name="Sample Data" sheetId="3" state="visible" r:id="rId3"/>
    <sheet name="Verification" sheetId="4" state="visible" r:id="rId4"/>
    <sheet name="Methodolog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$#,##0.0000"/>
    <numFmt numFmtId="166" formatCode="$#,##0"/>
    <numFmt numFmtId="167" formatCode="$#,##0,,&quot;M&quot;"/>
  </numFmts>
  <fonts count="30">
    <font>
      <name val="Calibri"/>
      <family val="2"/>
      <color theme="1"/>
      <sz val="11"/>
      <scheme val="minor"/>
    </font>
    <font>
      <name val="Arial"/>
      <b val="1"/>
      <color rgb="001A1A1A"/>
      <sz val="18"/>
    </font>
    <font>
      <name val="Arial"/>
      <i val="1"/>
      <color rgb="006B6B6B"/>
      <sz val="11"/>
    </font>
    <font>
      <name val="Arial"/>
      <b val="1"/>
      <color rgb="001A1A1A"/>
      <sz val="10"/>
    </font>
    <font>
      <name val="Arial"/>
      <color rgb="001A1A1A"/>
      <sz val="10"/>
    </font>
    <font>
      <name val="Arial"/>
      <color rgb="006B6B6B"/>
      <sz val="9"/>
    </font>
    <font>
      <name val="Arial"/>
      <b val="1"/>
      <color rgb="00A87C2C"/>
      <sz val="20"/>
    </font>
    <font>
      <name val="Arial"/>
      <b val="1"/>
      <color rgb="001F63A8"/>
      <sz val="13"/>
    </font>
    <font>
      <name val="Arial"/>
      <b val="1"/>
      <color rgb="001A1A1A"/>
      <sz val="12"/>
    </font>
    <font>
      <name val="Arial"/>
      <i val="1"/>
      <color rgb="006B6B6B"/>
      <sz val="10"/>
    </font>
    <font>
      <name val="Arial"/>
      <b val="1"/>
      <color rgb="000089A3"/>
      <sz val="10"/>
    </font>
    <font>
      <name val="Arial"/>
      <color rgb="001A1A1A"/>
      <sz val="9.5"/>
    </font>
    <font>
      <name val="Arial"/>
      <b val="1"/>
      <color rgb="001A1A1A"/>
      <sz val="9.5"/>
    </font>
    <font>
      <name val="Arial"/>
      <color rgb="006B6B6B"/>
      <sz val="9.5"/>
    </font>
    <font>
      <name val="Arial"/>
      <b val="1"/>
      <sz val="13"/>
    </font>
    <font>
      <name val="Arial"/>
      <b val="1"/>
      <color rgb="00FFFFFF"/>
      <sz val="10"/>
    </font>
    <font>
      <name val="Arial"/>
      <b val="1"/>
    </font>
    <font>
      <name val="Arial"/>
      <i val="1"/>
      <color rgb="006B6B6B"/>
      <sz val="9"/>
    </font>
    <font>
      <name val="Arial"/>
      <b val="1"/>
      <color rgb="00A87C2C"/>
    </font>
    <font>
      <name val="Arial"/>
      <sz val="9"/>
    </font>
    <font>
      <name val="Arial"/>
      <color rgb="000089A3"/>
      <sz val="9"/>
      <u val="single"/>
    </font>
    <font>
      <name val="Arial"/>
      <i val="1"/>
      <color rgb="006B6B6B"/>
      <sz val="8.5"/>
    </font>
    <font>
      <name val="Arial"/>
      <i val="1"/>
      <color rgb="006B6B6B"/>
      <sz val="9.5"/>
    </font>
    <font>
      <name val="Arial"/>
      <b val="1"/>
      <sz val="9.5"/>
    </font>
    <font>
      <name val="Arial"/>
      <sz val="9.5"/>
    </font>
    <font>
      <name val="Arial"/>
      <b val="1"/>
      <color rgb="001F63A8"/>
      <sz val="9.5"/>
    </font>
    <font>
      <name val="Arial"/>
      <b val="1"/>
      <sz val="10"/>
    </font>
    <font>
      <name val="Arial"/>
      <b val="1"/>
      <color rgb="001F63A8"/>
      <sz val="11"/>
    </font>
    <font>
      <name val="Arial"/>
      <b val="1"/>
      <sz val="14"/>
    </font>
    <font>
      <name val="Arial"/>
      <b val="1"/>
      <color rgb="001A1A1A"/>
      <sz val="11"/>
    </font>
  </fonts>
  <fills count="5">
    <fill>
      <patternFill/>
    </fill>
    <fill>
      <patternFill patternType="gray125"/>
    </fill>
    <fill>
      <patternFill patternType="solid">
        <fgColor rgb="001B2124"/>
      </patternFill>
    </fill>
    <fill>
      <patternFill patternType="solid">
        <fgColor rgb="00F6EEDD"/>
      </patternFill>
    </fill>
    <fill>
      <patternFill patternType="solid">
        <fgColor rgb="00E7EEF8"/>
      </patternFill>
    </fill>
  </fills>
  <borders count="2">
    <border>
      <left/>
      <right/>
      <top/>
      <bottom/>
      <diagonal/>
    </border>
    <border>
      <left style="thin">
        <color rgb="00D9D9D3"/>
      </left>
      <right style="thin">
        <color rgb="00D9D9D3"/>
      </right>
      <top style="thin">
        <color rgb="00D9D9D3"/>
      </top>
      <bottom style="thin">
        <color rgb="00D9D9D3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3" fontId="6" fillId="0" borderId="0" pivotButton="0" quotePrefix="0" xfId="0"/>
    <xf numFmtId="164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top" wrapText="1"/>
    </xf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2" borderId="1" applyAlignment="1" pivotButton="0" quotePrefix="0" xfId="0">
      <alignment vertical="center" wrapText="1"/>
    </xf>
    <xf numFmtId="0" fontId="16" fillId="0" borderId="1" pivotButton="0" quotePrefix="0" xfId="0"/>
    <xf numFmtId="0" fontId="16" fillId="0" borderId="1" applyAlignment="1" pivotButton="0" quotePrefix="0" xfId="0">
      <alignment vertical="center" wrapText="1"/>
    </xf>
    <xf numFmtId="3" fontId="16" fillId="0" borderId="1" pivotButton="0" quotePrefix="0" xfId="0"/>
    <xf numFmtId="164" fontId="16" fillId="0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vertical="center" wrapText="1"/>
    </xf>
    <xf numFmtId="164" fontId="0" fillId="0" borderId="1" pivotButton="0" quotePrefix="0" xfId="0"/>
    <xf numFmtId="0" fontId="17" fillId="0" borderId="1" applyAlignment="1" pivotButton="0" quotePrefix="0" xfId="0">
      <alignment vertical="center" wrapText="1"/>
    </xf>
    <xf numFmtId="0" fontId="18" fillId="0" borderId="1" applyAlignment="1" pivotButton="0" quotePrefix="0" xfId="0">
      <alignment vertical="center" wrapText="1"/>
    </xf>
    <xf numFmtId="0" fontId="17" fillId="0" borderId="0" applyAlignment="1" pivotButton="0" quotePrefix="0" xfId="0">
      <alignment wrapText="1"/>
    </xf>
    <xf numFmtId="0" fontId="19" fillId="0" borderId="1" applyAlignment="1" pivotButton="0" quotePrefix="0" xfId="0">
      <alignment vertical="center"/>
    </xf>
    <xf numFmtId="0" fontId="19" fillId="3" borderId="1" applyAlignment="1" pivotButton="0" quotePrefix="0" xfId="0">
      <alignment vertical="center"/>
    </xf>
    <xf numFmtId="3" fontId="19" fillId="0" borderId="1" applyAlignment="1" pivotButton="0" quotePrefix="0" xfId="0">
      <alignment vertical="center"/>
    </xf>
    <xf numFmtId="165" fontId="19" fillId="0" borderId="1" applyAlignment="1" pivotButton="0" quotePrefix="0" xfId="0">
      <alignment vertical="center"/>
    </xf>
    <xf numFmtId="166" fontId="19" fillId="0" borderId="1" applyAlignment="1" pivotButton="0" quotePrefix="0" xfId="0">
      <alignment vertical="center"/>
    </xf>
    <xf numFmtId="167" fontId="19" fillId="0" borderId="1" applyAlignment="1" pivotButton="0" quotePrefix="0" xfId="0">
      <alignment vertical="center"/>
    </xf>
    <xf numFmtId="0" fontId="20" fillId="0" borderId="1" applyAlignment="1" pivotButton="0" quotePrefix="0" xfId="0">
      <alignment vertical="center"/>
    </xf>
    <xf numFmtId="0" fontId="21" fillId="0" borderId="0" applyAlignment="1" pivotButton="0" quotePrefix="0" xfId="0">
      <alignment wrapText="1"/>
    </xf>
    <xf numFmtId="0" fontId="22" fillId="0" borderId="0" applyAlignment="1" pivotButton="0" quotePrefix="0" xfId="0">
      <alignment wrapText="1"/>
    </xf>
    <xf numFmtId="0" fontId="23" fillId="0" borderId="1" pivotButton="0" quotePrefix="0" xfId="0"/>
    <xf numFmtId="0" fontId="24" fillId="0" borderId="1" pivotButton="0" quotePrefix="0" xfId="0"/>
    <xf numFmtId="0" fontId="25" fillId="4" borderId="1" applyAlignment="1" pivotButton="0" quotePrefix="0" xfId="0">
      <alignment horizontal="center"/>
    </xf>
    <xf numFmtId="0" fontId="25" fillId="0" borderId="1" applyAlignment="1" pivotButton="0" quotePrefix="0" xfId="0">
      <alignment horizontal="center"/>
    </xf>
    <xf numFmtId="0" fontId="26" fillId="0" borderId="0" pivotButton="0" quotePrefix="0" xfId="0"/>
    <xf numFmtId="0" fontId="27" fillId="0" borderId="0" pivotButton="0" quotePrefix="0" xfId="0"/>
    <xf numFmtId="0" fontId="28" fillId="0" borderId="0" pivotButton="0" quotePrefix="0" xfId="0"/>
    <xf numFmtId="0" fontId="2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ampleData" displayName="SampleData" ref="B1:R51" headerRowCount="1">
  <autoFilter ref="B1:R51"/>
  <tableColumns count="17">
    <tableColumn id="2" name="Filer CIK"/>
    <tableColumn id="3" name="Filer name"/>
    <tableColumn id="4" name="Issuer"/>
    <tableColumn id="5" name="Ticker"/>
    <tableColumn id="6" name="Exchange (as recorded)"/>
    <tableColumn id="7" name="Filing date"/>
    <tableColumn id="8" name="Transaction date"/>
    <tableColumn id="9" name="Shares"/>
    <tableColumn id="10" name="Price/share"/>
    <tableColumn id="11" name="Value (CSV)"/>
    <tableColumn id="12" name="Value (shares × price)"/>
    <tableColumn id="13" name="Value matches?"/>
    <tableColumn id="14" name="Filer role"/>
    <tableColumn id="15" name="Market cap at filing"/>
    <tableColumn id="16" name="$200M–$20B band?"/>
    <tableColumn id="17" name="SIC"/>
    <tableColumn id="18" name="Source filing (EDGAR)"/>
  </tableColumns>
  <tableStyleInfo name="TableStyleMedium2" showFir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www.sec.gov/Archives/edgar/data/1160958/000143774914020925/rdgdoc.xml" TargetMode="External" Id="rId1" /><Relationship Type="http://schemas.openxmlformats.org/officeDocument/2006/relationships/hyperlink" Target="https://www.sec.gov/Archives/edgar/data/879764/000089924320006386/doc4.xml" TargetMode="External" Id="rId2" /><Relationship Type="http://schemas.openxmlformats.org/officeDocument/2006/relationships/hyperlink" Target="https://www.sec.gov/Archives/edgar/data/939713/000120919119058448/doc4.xml" TargetMode="External" Id="rId3" /><Relationship Type="http://schemas.openxmlformats.org/officeDocument/2006/relationships/hyperlink" Target="https://www.sec.gov/Archives/edgar/data/1338042/000120919114032072/doc4.xml" TargetMode="External" Id="rId4" /><Relationship Type="http://schemas.openxmlformats.org/officeDocument/2006/relationships/hyperlink" Target="https://www.sec.gov/Archives/edgar/data/1589135/000158913520000002/primary_doc.xml" TargetMode="External" Id="rId5" /><Relationship Type="http://schemas.openxmlformats.org/officeDocument/2006/relationships/hyperlink" Target="https://www.sec.gov/Archives/edgar/data/1066725/000120919120013688/doc4.xml" TargetMode="External" Id="rId6" /><Relationship Type="http://schemas.openxmlformats.org/officeDocument/2006/relationships/hyperlink" Target="https://www.sec.gov/Archives/edgar/data/1662107/000120919120013864/doc4.xml" TargetMode="External" Id="rId7" /><Relationship Type="http://schemas.openxmlformats.org/officeDocument/2006/relationships/hyperlink" Target="https://www.sec.gov/Archives/edgar/data/879764/000089924320006386/doc4.xml" TargetMode="External" Id="rId8" /><Relationship Type="http://schemas.openxmlformats.org/officeDocument/2006/relationships/hyperlink" Target="https://www.sec.gov/Archives/edgar/data/1012998/000120919120013871/doc4.xml" TargetMode="External" Id="rId9" /><Relationship Type="http://schemas.openxmlformats.org/officeDocument/2006/relationships/hyperlink" Target="https://www.sec.gov/Archives/edgar/data/1366868/000136686814000060/wf-form4_141622666707196.xml" TargetMode="External" Id="rId10" /><Relationship Type="http://schemas.openxmlformats.org/officeDocument/2006/relationships/hyperlink" Target="https://www.sec.gov/Archives/edgar/data/1645339/000182249222000023/wf-form4_164667750331292.xml" TargetMode="External" Id="rId11" /><Relationship Type="http://schemas.openxmlformats.org/officeDocument/2006/relationships/hyperlink" Target="https://www.sec.gov/Archives/edgar/data/1086222/000108622216000272/wf-form4_145824571476284.xml" TargetMode="External" Id="rId12" /><Relationship Type="http://schemas.openxmlformats.org/officeDocument/2006/relationships/hyperlink" Target="https://www.sec.gov/Archives/edgar/data/1466605/000115817222000015/wf-form4_164668987831148.xml" TargetMode="External" Id="rId13" /><Relationship Type="http://schemas.openxmlformats.org/officeDocument/2006/relationships/hyperlink" Target="https://www.sec.gov/Archives/edgar/data/1349214/000150761518000067/wf-form4_153548839885986.xml" TargetMode="External" Id="rId14" /><Relationship Type="http://schemas.openxmlformats.org/officeDocument/2006/relationships/hyperlink" Target="https://www.sec.gov/Archives/edgar/data/1584585/000120919119058555/doc4.xml" TargetMode="External" Id="rId15" /><Relationship Type="http://schemas.openxmlformats.org/officeDocument/2006/relationships/hyperlink" Target="https://www.sec.gov/Archives/edgar/data/866609/000120919114032087/doc4.xml" TargetMode="External" Id="rId16" /><Relationship Type="http://schemas.openxmlformats.org/officeDocument/2006/relationships/hyperlink" Target="https://www.sec.gov/Archives/edgar/data/1552198/000114036114042496/doc1.xml" TargetMode="External" Id="rId17" /><Relationship Type="http://schemas.openxmlformats.org/officeDocument/2006/relationships/hyperlink" Target="https://www.sec.gov/Archives/edgar/data/1319154/000081153220000052/wf-form4_158292724283533.xml" TargetMode="External" Id="rId18" /><Relationship Type="http://schemas.openxmlformats.org/officeDocument/2006/relationships/hyperlink" Target="https://www.sec.gov/Archives/edgar/data/1144519/000101968714001705/thomsen_f4.xml" TargetMode="External" Id="rId19" /><Relationship Type="http://schemas.openxmlformats.org/officeDocument/2006/relationships/hyperlink" Target="https://www.sec.gov/Archives/edgar/data/1031609/000120919122016577/doc4.xml" TargetMode="External" Id="rId20" /><Relationship Type="http://schemas.openxmlformats.org/officeDocument/2006/relationships/hyperlink" Target="https://www.sec.gov/Archives/edgar/data/716643/000155009914000003/primary_doc.xml" TargetMode="External" Id="rId21" /><Relationship Type="http://schemas.openxmlformats.org/officeDocument/2006/relationships/hyperlink" Target="https://www.sec.gov/Archives/edgar/data/1331563/000120919120013774/doc4.xml" TargetMode="External" Id="rId22" /><Relationship Type="http://schemas.openxmlformats.org/officeDocument/2006/relationships/hyperlink" Target="https://www.sec.gov/Archives/edgar/data/1182464/000120919120014193/doc4.xml" TargetMode="External" Id="rId23" /><Relationship Type="http://schemas.openxmlformats.org/officeDocument/2006/relationships/hyperlink" Target="https://www.sec.gov/Archives/edgar/data/1221359/000150021720000012/wf-form4_158292519270526.xml" TargetMode="External" Id="rId24" /><Relationship Type="http://schemas.openxmlformats.org/officeDocument/2006/relationships/hyperlink" Target="https://www.sec.gov/Archives/edgar/data/939713/000120919119049554/doc4.xml" TargetMode="External" Id="rId25" /><Relationship Type="http://schemas.openxmlformats.org/officeDocument/2006/relationships/hyperlink" Target="https://www.sec.gov/Archives/edgar/data/1131227/000118143114018488/rrd408851.xml" TargetMode="External" Id="rId26" /><Relationship Type="http://schemas.openxmlformats.org/officeDocument/2006/relationships/hyperlink" Target="https://www.sec.gov/Archives/edgar/data/1869790/000182249222000028/wf-form4_164668863259235.xml" TargetMode="External" Id="rId27" /><Relationship Type="http://schemas.openxmlformats.org/officeDocument/2006/relationships/hyperlink" Target="https://www.sec.gov/Archives/edgar/data/716643/000155009914000003/primary_doc.xml" TargetMode="External" Id="rId28" /><Relationship Type="http://schemas.openxmlformats.org/officeDocument/2006/relationships/hyperlink" Target="https://www.sec.gov/Archives/edgar/data/1581164/000114036114042436/doc1.xml" TargetMode="External" Id="rId29" /><Relationship Type="http://schemas.openxmlformats.org/officeDocument/2006/relationships/hyperlink" Target="https://www.sec.gov/Archives/edgar/data/1228922/000089924320006246/doc4.xml" TargetMode="External" Id="rId30" /><Relationship Type="http://schemas.openxmlformats.org/officeDocument/2006/relationships/hyperlink" Target="https://www.sec.gov/Archives/edgar/data/921738/000117911014007926/edgar.xml" TargetMode="External" Id="rId31" /><Relationship Type="http://schemas.openxmlformats.org/officeDocument/2006/relationships/hyperlink" Target="https://www.sec.gov/Archives/edgar/data/1594109/000120919114027123/doc4.xml" TargetMode="External" Id="rId32" /><Relationship Type="http://schemas.openxmlformats.org/officeDocument/2006/relationships/hyperlink" Target="https://www.sec.gov/Archives/edgar/data/1626706/000162045922000057/wf-form4_164665341200884.xml" TargetMode="External" Id="rId33" /><Relationship Type="http://schemas.openxmlformats.org/officeDocument/2006/relationships/hyperlink" Target="https://www.sec.gov/Archives/edgar/data/1349214/000150761518000067/wf-form4_153548839885986.xml" TargetMode="External" Id="rId34" /><Relationship Type="http://schemas.openxmlformats.org/officeDocument/2006/relationships/hyperlink" Target="https://www.sec.gov/Archives/edgar/data/1570945/000089924320006231/doc4.xml" TargetMode="External" Id="rId35" /><Relationship Type="http://schemas.openxmlformats.org/officeDocument/2006/relationships/hyperlink" Target="https://www.sec.gov/Archives/edgar/data/1562371/000120919119049553/doc4.xml" TargetMode="External" Id="rId36" /><Relationship Type="http://schemas.openxmlformats.org/officeDocument/2006/relationships/hyperlink" Target="https://www.sec.gov/Archives/edgar/data/1310067/000091957416011952/p7084799.xml" TargetMode="External" Id="rId37" /><Relationship Type="http://schemas.openxmlformats.org/officeDocument/2006/relationships/hyperlink" Target="https://www.sec.gov/Archives/edgar/data/942439/000120919117057755/doc4.xml" TargetMode="External" Id="rId38" /><Relationship Type="http://schemas.openxmlformats.org/officeDocument/2006/relationships/hyperlink" Target="https://www.sec.gov/Archives/edgar/data/1576312/000110465920120149/a4.xml" TargetMode="External" Id="rId39" /><Relationship Type="http://schemas.openxmlformats.org/officeDocument/2006/relationships/hyperlink" Target="https://www.sec.gov/Archives/edgar/data/939713/000120919119049554/doc4.xml" TargetMode="External" Id="rId40" /><Relationship Type="http://schemas.openxmlformats.org/officeDocument/2006/relationships/hyperlink" Target="https://www.sec.gov/Archives/edgar/data/1558592/000182249222000022/wf-form4_164667748616049.xml" TargetMode="External" Id="rId41" /><Relationship Type="http://schemas.openxmlformats.org/officeDocument/2006/relationships/hyperlink" Target="https://www.sec.gov/Archives/edgar/data/1606074/000120919120014194/doc4.xml" TargetMode="External" Id="rId42" /><Relationship Type="http://schemas.openxmlformats.org/officeDocument/2006/relationships/hyperlink" Target="https://www.sec.gov/Archives/edgar/data/1131227/000118143114018488/rrd408851.xml" TargetMode="External" Id="rId43" /><Relationship Type="http://schemas.openxmlformats.org/officeDocument/2006/relationships/hyperlink" Target="https://www.sec.gov/Archives/edgar/data/1798288/000089924320006232/doc4.xml" TargetMode="External" Id="rId44" /><Relationship Type="http://schemas.openxmlformats.org/officeDocument/2006/relationships/hyperlink" Target="https://www.sec.gov/Archives/edgar/data/1221359/000150021720000012/wf-form4_158292519270526.xml" TargetMode="External" Id="rId45" /><Relationship Type="http://schemas.openxmlformats.org/officeDocument/2006/relationships/hyperlink" Target="https://www.sec.gov/Archives/edgar/data/893538/000089353814000095/wf-form4_141625875828848.xml" TargetMode="External" Id="rId46" /><Relationship Type="http://schemas.openxmlformats.org/officeDocument/2006/relationships/hyperlink" Target="https://www.sec.gov/Archives/edgar/data/1636204/000089924320006248/doc4.xml" TargetMode="External" Id="rId47" /><Relationship Type="http://schemas.openxmlformats.org/officeDocument/2006/relationships/hyperlink" Target="https://www.sec.gov/Archives/edgar/data/1466605/000115817222000015/wf-form4_164668987831148.xml" TargetMode="External" Id="rId48" /><Relationship Type="http://schemas.openxmlformats.org/officeDocument/2006/relationships/hyperlink" Target="https://www.sec.gov/Archives/edgar/data/1221359/000150021720000012/wf-form4_158292519270526.xml" TargetMode="External" Id="rId49" /><Relationship Type="http://schemas.openxmlformats.org/officeDocument/2006/relationships/hyperlink" Target="https://www.sec.gov/Archives/edgar/data/1450714/000120919119058527/doc4.xml" TargetMode="External" Id="rId50" /><Relationship Type="http://schemas.openxmlformats.org/officeDocument/2006/relationships/table" Target="/xl/tables/table1.xml" Id="rId5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3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16" customWidth="1" min="3" max="3"/>
    <col width="44" customWidth="1" min="4" max="4"/>
    <col width="3" customWidth="1" min="5" max="5"/>
  </cols>
  <sheetData>
    <row r="2">
      <c r="B2" s="1" t="inlineStr">
        <is>
          <t>SEC EDGAR Form 4 Insider Purchases</t>
        </is>
      </c>
    </row>
    <row r="3">
      <c r="B3" s="2" t="inlineStr">
        <is>
          <t>Randomly sampled, filtered open-market insider purchases  ·  2014-01-01 to 2024-06-30</t>
        </is>
      </c>
    </row>
    <row r="5">
      <c r="B5" s="3" t="inlineStr">
        <is>
          <t>Data source</t>
        </is>
      </c>
      <c r="C5" s="4" t="inlineStr">
        <is>
          <t>SEC EDGAR full-text search + Form 4 XML filings (see Methodology sheet)</t>
        </is>
      </c>
    </row>
    <row r="6">
      <c r="B6" s="3" t="inlineStr">
        <is>
          <t>Sampling method</t>
        </is>
      </c>
      <c r="C6" s="4" t="inlineStr">
        <is>
          <t>Two-stage cluster random sample, seed = 42 (13 business days, full census within each)</t>
        </is>
      </c>
    </row>
    <row r="7">
      <c r="B7" s="3" t="inlineStr">
        <is>
          <t>Filings examined</t>
        </is>
      </c>
      <c r="C7" s="4" t="n">
        <v>5113</v>
      </c>
    </row>
    <row r="8">
      <c r="B8" s="3" t="inlineStr">
        <is>
          <t>Final sample size</t>
        </is>
      </c>
      <c r="C8" s="4" t="n">
        <v>50</v>
      </c>
    </row>
    <row r="9">
      <c r="B9" s="3" t="inlineStr">
        <is>
          <t>Generated</t>
        </is>
      </c>
      <c r="C9" s="4" t="inlineStr">
        <is>
          <t>2026-08-18</t>
        </is>
      </c>
    </row>
    <row r="11">
      <c r="B11" s="5" t="inlineStr">
        <is>
          <t>Final sample</t>
        </is>
      </c>
      <c r="C11" s="5" t="inlineStr">
        <is>
          <t>Filings examined</t>
        </is>
      </c>
      <c r="D11" s="5" t="inlineStr">
        <is>
          <t>Survival rate</t>
        </is>
      </c>
      <c r="E11" s="5" t="inlineStr">
        <is>
          <t>Verification</t>
        </is>
      </c>
    </row>
    <row r="12">
      <c r="B12" s="6">
        <f>Funnel!D11</f>
        <v>50</v>
      </c>
      <c r="C12" s="7">
        <f>Funnel!D4</f>
        <v>5113</v>
      </c>
      <c r="D12" s="8">
        <f>Funnel!D10/Funnel!D4</f>
        <v>0.010365734402503423</v>
      </c>
      <c r="E12" s="9" t="str">
        <f>Verification!C12</f>
        <v>ALL 5 ROWS PASSED</v>
      </c>
    </row>
    <row r="14">
      <c r="B14" s="10" t="inlineStr">
        <is>
          <t>Filter funnel</t>
        </is>
      </c>
    </row>
    <row r="15">
      <c r="B15" s="11" t="inlineStr">
        <is>
          <t>See the Funnel sheet for the full stage-by-stage breakdown with formulas.</t>
        </is>
      </c>
    </row>
    <row r="17">
      <c r="B17" s="12" t="inlineStr">
        <is>
          <t>Exchange filter was survivorship-biased — caught &amp; fixed</t>
        </is>
      </c>
    </row>
    <row r="18" ht="42" customHeight="1">
      <c r="B18" s="13" t="inlineStr">
        <is>
          <t>SEC's own ticker/exchange reference file only reflects companies listed TODAY. Issuers delisted since (e.g. Revlon, Ion Geophysical — both legitimately NYSE-listed at filing time) would silently vanish from a naive NYSE/Nasdaq check. Fixed with a fallback on the filing's own SEC Exchange Act file-number prefix ("001-" = exchange-listed at filing time). Affects 18 of 53 pre-sample rows — flagged in the Sample Data sheet's Exchange Source column.</t>
        </is>
      </c>
    </row>
    <row r="19"/>
    <row r="21">
      <c r="B21" s="12" t="inlineStr">
        <is>
          <t>Two duplicate rows found &amp; fixed after the run</t>
        </is>
      </c>
    </row>
    <row r="22" ht="42" customHeight="1">
      <c r="B22" s="13" t="inlineStr">
        <is>
          <t>A post-run sanity check found 2 exact-duplicate transaction rows in the raw 55 survivors. One was a real pipeline bug (EDGAR full-text search returning the same filing twice on a pagination tie). One was a genuine artifact in the source filing itself — confirmed by hand — listing an identical transaction line twice. Both fixed at the root; corrected pre-sample count is 53 (see filter_log.txt).</t>
        </is>
      </c>
    </row>
    <row r="23"/>
    <row r="25">
      <c r="B25" s="12" t="inlineStr">
        <is>
          <t>Verified before and after the pull</t>
        </is>
      </c>
    </row>
    <row r="26" ht="42" customHeight="1">
      <c r="B26" s="13" t="inlineStr">
        <is>
          <t>Before pulling any data: known filings (Apple, Microsoft) were fetched and checked for issuer-specific content to rule out a cached/generic response. After the pull: 5 rows picked at random (seed 42) were re-fetched live from EDGAR and independently re-parsed — see the Verification sheet. All 5 passed.</t>
        </is>
      </c>
    </row>
    <row r="27"/>
    <row r="29">
      <c r="B29" s="10" t="inlineStr">
        <is>
          <t>Sheets in this workbook</t>
        </is>
      </c>
    </row>
    <row r="30">
      <c r="B30" s="14" t="inlineStr">
        <is>
          <t>Funnel</t>
        </is>
      </c>
      <c r="C30" s="15" t="inlineStr">
        <is>
          <t>All 6 filters in order, with % of prior stage and % of total — formula-driven.</t>
        </is>
      </c>
    </row>
    <row r="31">
      <c r="B31" s="14" t="inlineStr">
        <is>
          <t>Sample Data</t>
        </is>
      </c>
      <c r="C31" s="15" t="inlineStr">
        <is>
          <t>The 50 final rows, one per transaction, with formula cross-checks on value and market-cap band.</t>
        </is>
      </c>
    </row>
    <row r="32">
      <c r="B32" s="14" t="inlineStr">
        <is>
          <t>Verification</t>
        </is>
      </c>
      <c r="C32" s="15" t="inlineStr">
        <is>
          <t>The 5 randomly re-checked rows, live-refetched from EDGAR and compared to the CSV.</t>
        </is>
      </c>
    </row>
    <row r="33">
      <c r="B33" s="14" t="inlineStr">
        <is>
          <t>Methodology</t>
        </is>
      </c>
      <c r="C33" s="15" t="inlineStr">
        <is>
          <t>Data sources, filter definitions, sampling seed, and every documented assumption.</t>
        </is>
      </c>
    </row>
  </sheetData>
  <mergeCells count="10">
    <mergeCell ref="B26:D27"/>
    <mergeCell ref="C32:D32"/>
    <mergeCell ref="C30:D30"/>
    <mergeCell ref="C33:D33"/>
    <mergeCell ref="B17:D17"/>
    <mergeCell ref="B18:D19"/>
    <mergeCell ref="B21:D21"/>
    <mergeCell ref="B22:D23"/>
    <mergeCell ref="C31:D31"/>
    <mergeCell ref="B25:D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40" customWidth="1" min="2" max="2"/>
    <col width="14" customWidth="1" min="3" max="3"/>
    <col width="16" customWidth="1" min="4" max="4"/>
    <col width="16" customWidth="1" min="5" max="5"/>
    <col width="40" customWidth="1" min="6" max="6"/>
  </cols>
  <sheetData>
    <row r="1">
      <c r="B1" s="16" t="inlineStr">
        <is>
          <t>Filter funnel — 13 sampled business days, seed 42</t>
        </is>
      </c>
    </row>
    <row r="3">
      <c r="A3" s="17" t="n"/>
      <c r="B3" s="17" t="inlineStr">
        <is>
          <t>#</t>
        </is>
      </c>
      <c r="C3" s="17" t="inlineStr">
        <is>
          <t>Stage</t>
        </is>
      </c>
      <c r="D3" s="17" t="inlineStr">
        <is>
          <t>Count</t>
        </is>
      </c>
      <c r="E3" s="17" t="inlineStr">
        <is>
          <t>% of prior stage</t>
        </is>
      </c>
      <c r="F3" s="17" t="inlineStr">
        <is>
          <t>% of total examined</t>
        </is>
      </c>
      <c r="G3" s="17" t="inlineStr">
        <is>
          <t>Note</t>
        </is>
      </c>
    </row>
    <row r="4" ht="28" customHeight="1">
      <c r="B4" s="18" t="n">
        <v>0</v>
      </c>
      <c r="C4" s="19" t="inlineStr">
        <is>
          <t>Form 4 filings examined (full census of 13 sampled days)</t>
        </is>
      </c>
      <c r="D4" s="20" t="n">
        <v>5113</v>
      </c>
      <c r="E4" s="18" t="n"/>
      <c r="F4" s="21">
        <f>D4/D$4</f>
        <v>1.0</v>
      </c>
      <c r="G4" s="19" t="inlineStr"/>
    </row>
    <row r="5" ht="28" customHeight="1">
      <c r="B5" s="22" t="n">
        <v>1</v>
      </c>
      <c r="C5" s="23" t="inlineStr">
        <is>
          <t>Filter 1 — transaction code P, not flagged Rule 10b5-1</t>
        </is>
      </c>
      <c r="D5" s="20" t="n">
        <v>492</v>
      </c>
      <c r="E5" s="24">
        <f>D5/D4</f>
        <v>0.09622530803833367</v>
      </c>
      <c r="F5" s="24">
        <f>D5/D$4</f>
        <v>0.09622530803833367</v>
      </c>
      <c r="G5" s="25" t="inlineStr">
        <is>
          <t>10b5-1 flag: doc checkbox (post-Feb-2023) or footnote-text fallback</t>
        </is>
      </c>
    </row>
    <row r="6" ht="28" customHeight="1">
      <c r="B6" s="22" t="n">
        <v>2</v>
      </c>
      <c r="C6" s="23" t="inlineStr">
        <is>
          <t>Filter 2 — transaction value ≥ $250,000</t>
        </is>
      </c>
      <c r="D6" s="20" t="n">
        <v>154</v>
      </c>
      <c r="E6" s="24">
        <f>D6/D5</f>
        <v>0.3130081300813008</v>
      </c>
      <c r="F6" s="24">
        <f>D6/D$4</f>
        <v>0.030119303735575982</v>
      </c>
      <c r="G6" s="25" t="inlineStr"/>
    </row>
    <row r="7" ht="28" customHeight="1">
      <c r="B7" s="22" t="n">
        <v>3</v>
      </c>
      <c r="C7" s="23" t="inlineStr">
        <is>
          <t>Filter 3 — opportunistic (≥2× filer's own median prior purchase, or first)</t>
        </is>
      </c>
      <c r="D7" s="20" t="n">
        <v>154</v>
      </c>
      <c r="E7" s="24">
        <f>D7/D6</f>
        <v>1.0</v>
      </c>
      <c r="F7" s="24">
        <f>D7/D$4</f>
        <v>0.030119303735575982</v>
      </c>
      <c r="G7" s="25" t="inlineStr">
        <is>
          <t>0 additional drop this run — see Methodology</t>
        </is>
      </c>
    </row>
    <row r="8" ht="28" customHeight="1">
      <c r="B8" s="22" t="n">
        <v>4</v>
      </c>
      <c r="C8" s="23" t="inlineStr">
        <is>
          <t>Filter 4 — filer is Director or Officer (Section 16), not just 10% owner</t>
        </is>
      </c>
      <c r="D8" s="20" t="n">
        <v>94</v>
      </c>
      <c r="E8" s="24">
        <f>D8/D7</f>
        <v>0.6103896103896104</v>
      </c>
      <c r="F8" s="24">
        <f>D8/D$4</f>
        <v>0.018384510072364562</v>
      </c>
      <c r="G8" s="25" t="inlineStr"/>
    </row>
    <row r="9" ht="28" customHeight="1">
      <c r="B9" s="22" t="n">
        <v>5</v>
      </c>
      <c r="C9" s="23" t="inlineStr">
        <is>
          <t>Filter 5 — issuer market cap $200M–$20B at filing date</t>
        </is>
      </c>
      <c r="D9" s="20" t="n">
        <v>62</v>
      </c>
      <c r="E9" s="24">
        <f>D9/D8</f>
        <v>0.6595744680851063</v>
      </c>
      <c r="F9" s="24">
        <f>D9/D$4</f>
        <v>0.012125953451985135</v>
      </c>
      <c r="G9" s="25" t="inlineStr">
        <is>
          <t>Market cap = shares outstanding × transaction price (proxy)</t>
        </is>
      </c>
    </row>
    <row r="10" ht="28" customHeight="1">
      <c r="B10" s="22" t="n">
        <v>6</v>
      </c>
      <c r="C10" s="23" t="inlineStr">
        <is>
          <t>Filter 6 — issuer listed on NYSE or Nasdaq</t>
        </is>
      </c>
      <c r="D10" s="20" t="n">
        <v>53</v>
      </c>
      <c r="E10" s="24">
        <f>D10/D9</f>
        <v>0.8548387096774194</v>
      </c>
      <c r="F10" s="24">
        <f>D10/D$4</f>
        <v>0.010365734402503423</v>
      </c>
      <c r="G10" s="25" t="inlineStr">
        <is>
          <t>18 of 53 recovered via file_num fallback (delisted since); 2 raw duplicates removed here too</t>
        </is>
      </c>
    </row>
    <row r="11" ht="28" customHeight="1">
      <c r="B11" s="22" t="n">
        <v>7</v>
      </c>
      <c r="C11" s="26" t="inlineStr">
        <is>
          <t>Final sample — random.Random(42).sample(rows, 50)</t>
        </is>
      </c>
      <c r="D11" s="20" t="n">
        <v>50</v>
      </c>
      <c r="E11" s="24">
        <f>D11/D10</f>
        <v>0.9433962264150944</v>
      </c>
      <c r="F11" s="24">
        <f>D11/D$4</f>
        <v>0.009778994719342852</v>
      </c>
      <c r="G11" s="25" t="inlineStr">
        <is>
          <t>53 pre-sample survivors &gt; 50, so randomly sampled down</t>
        </is>
      </c>
    </row>
    <row r="13">
      <c r="B13" s="27" t="inlineStr">
        <is>
          <t>Row counts reflect a full census of 13 randomly sampled business days (not the full ~10.5-year population, which is infeasible to exhaustively fetch under SEC's &lt;10 req/s rate limit). See Methodology sheet for the full sampling design.</t>
        </is>
      </c>
    </row>
    <row r="14"/>
  </sheetData>
  <mergeCells count="2">
    <mergeCell ref="B13:F14"/>
    <mergeCell ref="B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2" max="2"/>
    <col width="24" customWidth="1" min="3" max="3"/>
    <col width="30" customWidth="1" min="4" max="4"/>
    <col width="9" customWidth="1" min="5" max="5"/>
    <col width="34" customWidth="1" min="6" max="6"/>
    <col width="12" customWidth="1" min="7" max="7"/>
    <col width="13" customWidth="1" min="8" max="8"/>
    <col width="12" customWidth="1" min="9" max="9"/>
    <col width="12" customWidth="1" min="10" max="10"/>
    <col width="14" customWidth="1" min="11" max="11"/>
    <col width="16" customWidth="1" min="12" max="12"/>
    <col width="12" customWidth="1" min="13" max="13"/>
    <col width="30" customWidth="1" min="14" max="14"/>
    <col width="16" customWidth="1" min="15" max="15"/>
    <col width="14" customWidth="1" min="16" max="16"/>
    <col width="8" customWidth="1" min="17" max="17"/>
    <col width="46" customWidth="1" min="18" max="18"/>
  </cols>
  <sheetData>
    <row r="1" ht="30" customHeight="1">
      <c r="A1" s="17" t="n"/>
      <c r="B1" s="17" t="inlineStr">
        <is>
          <t>Filer CIK</t>
        </is>
      </c>
      <c r="C1" s="17" t="inlineStr">
        <is>
          <t>Filer name</t>
        </is>
      </c>
      <c r="D1" s="17" t="inlineStr">
        <is>
          <t>Issuer</t>
        </is>
      </c>
      <c r="E1" s="17" t="inlineStr">
        <is>
          <t>Ticker</t>
        </is>
      </c>
      <c r="F1" s="17" t="inlineStr">
        <is>
          <t>Exchange (as recorded)</t>
        </is>
      </c>
      <c r="G1" s="17" t="inlineStr">
        <is>
          <t>Filing date</t>
        </is>
      </c>
      <c r="H1" s="17" t="inlineStr">
        <is>
          <t>Transaction date</t>
        </is>
      </c>
      <c r="I1" s="17" t="inlineStr">
        <is>
          <t>Shares</t>
        </is>
      </c>
      <c r="J1" s="17" t="inlineStr">
        <is>
          <t>Price/share</t>
        </is>
      </c>
      <c r="K1" s="17" t="inlineStr">
        <is>
          <t>Value (CSV)</t>
        </is>
      </c>
      <c r="L1" s="17" t="inlineStr">
        <is>
          <t>Value (shares × price)</t>
        </is>
      </c>
      <c r="M1" s="17" t="inlineStr">
        <is>
          <t>Value matches?</t>
        </is>
      </c>
      <c r="N1" s="17" t="inlineStr">
        <is>
          <t>Filer role</t>
        </is>
      </c>
      <c r="O1" s="17" t="inlineStr">
        <is>
          <t>Market cap at filing</t>
        </is>
      </c>
      <c r="P1" s="17" t="inlineStr">
        <is>
          <t>$200M–$20B band?</t>
        </is>
      </c>
      <c r="Q1" s="17" t="inlineStr">
        <is>
          <t>SIC</t>
        </is>
      </c>
      <c r="R1" s="17" t="inlineStr">
        <is>
          <t>Source filing (EDGAR)</t>
        </is>
      </c>
    </row>
    <row r="2">
      <c r="B2" s="28" t="n">
        <v>1541375</v>
      </c>
      <c r="C2" s="28" t="inlineStr">
        <is>
          <t>Tamer Ford</t>
        </is>
      </c>
      <c r="D2" s="28" t="inlineStr">
        <is>
          <t>INPHI Corp</t>
        </is>
      </c>
      <c r="E2" s="28" t="inlineStr">
        <is>
          <t>IPHI</t>
        </is>
      </c>
      <c r="F2" s="29" t="inlineStr">
        <is>
          <t>NYSE/Nasdaq (inferred, not in current listing file)</t>
        </is>
      </c>
      <c r="G2" s="28" t="inlineStr">
        <is>
          <t>2014-11-17</t>
        </is>
      </c>
      <c r="H2" s="28" t="inlineStr">
        <is>
          <t>2014-11-14</t>
        </is>
      </c>
      <c r="I2" s="30" t="n">
        <v>28715</v>
      </c>
      <c r="J2" s="31" t="n">
        <v>13.907</v>
      </c>
      <c r="K2" s="32" t="n">
        <v>399339.51</v>
      </c>
      <c r="L2" s="32">
        <f>I2*J2</f>
        <v>399339.505</v>
      </c>
      <c r="M2" s="28" t="str">
        <f>IF(ABS(K2-L2)&lt;0.01,"OK","MISMATCH")</f>
        <v>OK</v>
      </c>
      <c r="N2" s="28" t="inlineStr">
        <is>
          <t>Director; Officer (President &amp; CEO)</t>
        </is>
      </c>
      <c r="O2" s="33" t="n">
        <v>515972994.23</v>
      </c>
      <c r="P2" s="28" t="str">
        <f>IF(AND(O2&gt;=200000000,O2&lt;=20000000000),"IN BAND","OUT")</f>
        <v>IN BAND</v>
      </c>
      <c r="Q2" s="28" t="inlineStr">
        <is>
          <t>3674</t>
        </is>
      </c>
      <c r="R2" s="34" t="inlineStr">
        <is>
          <t>https://www.sec.gov/Archives/edgar/data/1160958/000143774914020925/rdgdoc.xml</t>
        </is>
      </c>
    </row>
    <row r="3">
      <c r="B3" s="28" t="n">
        <v>879764</v>
      </c>
      <c r="C3" s="28" t="inlineStr">
        <is>
          <t>TOTAL S.A.</t>
        </is>
      </c>
      <c r="D3" s="28" t="inlineStr">
        <is>
          <t>SUNPOWER CORP</t>
        </is>
      </c>
      <c r="E3" s="28" t="inlineStr">
        <is>
          <t>SPWR</t>
        </is>
      </c>
      <c r="F3" s="29" t="inlineStr">
        <is>
          <t>NYSE/Nasdaq (inferred, not in current listing file)</t>
        </is>
      </c>
      <c r="G3" s="28" t="inlineStr">
        <is>
          <t>2020-02-28</t>
        </is>
      </c>
      <c r="H3" s="28" t="inlineStr">
        <is>
          <t>2020-02-26</t>
        </is>
      </c>
      <c r="I3" s="30" t="n">
        <v>81235</v>
      </c>
      <c r="J3" s="31" t="n">
        <v>8.8566</v>
      </c>
      <c r="K3" s="32" t="n">
        <v>719465.9</v>
      </c>
      <c r="L3" s="32">
        <f>I3*J3</f>
        <v>719465.9010000001</v>
      </c>
      <c r="M3" s="28" t="str">
        <f>IF(ABS(K3-L3)&lt;0.01,"OK","MISMATCH")</f>
        <v>OK</v>
      </c>
      <c r="N3" s="28" t="inlineStr">
        <is>
          <t>Director</t>
        </is>
      </c>
      <c r="O3" s="33" t="n">
        <v>1491402826.12</v>
      </c>
      <c r="P3" s="28" t="str">
        <f>IF(AND(O3&gt;=200000000,O3&lt;=20000000000),"IN BAND","OUT")</f>
        <v>IN BAND</v>
      </c>
      <c r="Q3" s="28" t="inlineStr">
        <is>
          <t>1311</t>
        </is>
      </c>
      <c r="R3" s="34" t="inlineStr">
        <is>
          <t>https://www.sec.gov/Archives/edgar/data/879764/000089924320006386/doc4.xml</t>
        </is>
      </c>
    </row>
    <row r="4">
      <c r="B4" s="28" t="n">
        <v>939713</v>
      </c>
      <c r="C4" s="28" t="inlineStr">
        <is>
          <t>TUCHMAN MARTIN</t>
        </is>
      </c>
      <c r="D4" s="28" t="inlineStr">
        <is>
          <t>Fortress Transportation &amp; Infrastructure Investors LLC</t>
        </is>
      </c>
      <c r="E4" s="28" t="inlineStr">
        <is>
          <t>FTAI</t>
        </is>
      </c>
      <c r="F4" s="28" t="inlineStr">
        <is>
          <t>Nasdaq</t>
        </is>
      </c>
      <c r="G4" s="28" t="inlineStr">
        <is>
          <t>2019-12-02</t>
        </is>
      </c>
      <c r="H4" s="28" t="inlineStr">
        <is>
          <t>2019-11-27</t>
        </is>
      </c>
      <c r="I4" s="30" t="n">
        <v>200000</v>
      </c>
      <c r="J4" s="31" t="n">
        <v>25</v>
      </c>
      <c r="K4" s="32" t="n">
        <v>5000000</v>
      </c>
      <c r="L4" s="32">
        <f>I4*J4</f>
        <v>5000000.0</v>
      </c>
      <c r="M4" s="28" t="str">
        <f>IF(ABS(K4-L4)&lt;0.01,"OK","MISMATCH")</f>
        <v>OK</v>
      </c>
      <c r="N4" s="28" t="inlineStr">
        <is>
          <t>Director</t>
        </is>
      </c>
      <c r="O4" s="33" t="n">
        <v>2122578450</v>
      </c>
      <c r="P4" s="28" t="str">
        <f>IF(AND(O4&gt;=200000000,O4&lt;=20000000000),"IN BAND","OUT")</f>
        <v>IN BAND</v>
      </c>
      <c r="Q4" s="28" t="inlineStr">
        <is>
          <t>7350</t>
        </is>
      </c>
      <c r="R4" s="34" t="inlineStr">
        <is>
          <t>https://www.sec.gov/Archives/edgar/data/939713/000120919119058448/doc4.xml</t>
        </is>
      </c>
    </row>
    <row r="5">
      <c r="B5" s="28" t="n">
        <v>1314575</v>
      </c>
      <c r="C5" s="28" t="inlineStr">
        <is>
          <t>Beer Marc D</t>
        </is>
      </c>
      <c r="D5" s="28" t="inlineStr">
        <is>
          <t>Aegerion Pharmaceuticals, Inc.</t>
        </is>
      </c>
      <c r="E5" s="28" t="inlineStr">
        <is>
          <t>AEGR</t>
        </is>
      </c>
      <c r="F5" s="29" t="inlineStr">
        <is>
          <t>NYSE/Nasdaq (inferred, not in current listing file)</t>
        </is>
      </c>
      <c r="G5" s="28" t="inlineStr">
        <is>
          <t>2014-05-08</t>
        </is>
      </c>
      <c r="H5" s="28" t="inlineStr">
        <is>
          <t>2014-05-08</t>
        </is>
      </c>
      <c r="I5" s="30" t="n">
        <v>30000</v>
      </c>
      <c r="J5" s="31" t="n">
        <v>35.31</v>
      </c>
      <c r="K5" s="32" t="n">
        <v>1059300</v>
      </c>
      <c r="L5" s="32">
        <f>I5*J5</f>
        <v>1059300.0</v>
      </c>
      <c r="M5" s="28" t="str">
        <f>IF(ABS(K5-L5)&lt;0.01,"OK","MISMATCH")</f>
        <v>OK</v>
      </c>
      <c r="N5" s="28" t="inlineStr">
        <is>
          <t>Director; Officer (Chief Executive Officer)</t>
        </is>
      </c>
      <c r="O5" s="33" t="n">
        <v>1041042999.81</v>
      </c>
      <c r="P5" s="28" t="str">
        <f>IF(AND(O5&gt;=200000000,O5&lt;=20000000000),"IN BAND","OUT")</f>
        <v>IN BAND</v>
      </c>
      <c r="Q5" s="28" t="inlineStr">
        <is>
          <t>2834</t>
        </is>
      </c>
      <c r="R5" s="34" t="inlineStr">
        <is>
          <t>https://www.sec.gov/Archives/edgar/data/1338042/000120919114032072/doc4.xml</t>
        </is>
      </c>
    </row>
    <row r="6">
      <c r="B6" s="28" t="n">
        <v>1589135</v>
      </c>
      <c r="C6" s="28" t="inlineStr">
        <is>
          <t>Levine Jay N.</t>
        </is>
      </c>
      <c r="D6" s="28" t="inlineStr">
        <is>
          <t>OneMain Holdings, Inc.</t>
        </is>
      </c>
      <c r="E6" s="28" t="inlineStr">
        <is>
          <t>OMF</t>
        </is>
      </c>
      <c r="F6" s="28" t="inlineStr">
        <is>
          <t>NYSE</t>
        </is>
      </c>
      <c r="G6" s="28" t="inlineStr">
        <is>
          <t>2020-02-28</t>
        </is>
      </c>
      <c r="H6" s="28" t="inlineStr">
        <is>
          <t>2020-02-27</t>
        </is>
      </c>
      <c r="I6" s="30" t="n">
        <v>10000</v>
      </c>
      <c r="J6" s="31" t="n">
        <v>39.23</v>
      </c>
      <c r="K6" s="32" t="n">
        <v>392300</v>
      </c>
      <c r="L6" s="32">
        <f>I6*J6</f>
        <v>392299.99999999994</v>
      </c>
      <c r="M6" s="28" t="str">
        <f>IF(ABS(K6-L6)&lt;0.01,"OK","MISMATCH")</f>
        <v>OK</v>
      </c>
      <c r="N6" s="28" t="inlineStr">
        <is>
          <t>Director</t>
        </is>
      </c>
      <c r="O6" s="33" t="n">
        <v>5342908744.26</v>
      </c>
      <c r="P6" s="28" t="str">
        <f>IF(AND(O6&gt;=200000000,O6&lt;=20000000000),"IN BAND","OUT")</f>
        <v>IN BAND</v>
      </c>
      <c r="Q6" s="28" t="inlineStr">
        <is>
          <t>6141</t>
        </is>
      </c>
      <c r="R6" s="34" t="inlineStr">
        <is>
          <t>https://www.sec.gov/Archives/edgar/data/1589135/000158913520000002/primary_doc.xml</t>
        </is>
      </c>
    </row>
    <row r="7">
      <c r="B7" s="28" t="n">
        <v>1066725</v>
      </c>
      <c r="C7" s="28" t="inlineStr">
        <is>
          <t>REED COLIN V</t>
        </is>
      </c>
      <c r="D7" s="28" t="inlineStr">
        <is>
          <t>Ryman Hospitality Properties, Inc.</t>
        </is>
      </c>
      <c r="E7" s="28" t="inlineStr">
        <is>
          <t>RHP</t>
        </is>
      </c>
      <c r="F7" s="28" t="inlineStr">
        <is>
          <t>NYSE</t>
        </is>
      </c>
      <c r="G7" s="28" t="inlineStr">
        <is>
          <t>2020-02-28</t>
        </is>
      </c>
      <c r="H7" s="28" t="inlineStr">
        <is>
          <t>2020-02-28</t>
        </is>
      </c>
      <c r="I7" s="30" t="n">
        <v>7797</v>
      </c>
      <c r="J7" s="31" t="n">
        <v>71.38</v>
      </c>
      <c r="K7" s="32" t="n">
        <v>556549.86</v>
      </c>
      <c r="L7" s="32">
        <f>I7*J7</f>
        <v>556549.86</v>
      </c>
      <c r="M7" s="28" t="str">
        <f>IF(ABS(K7-L7)&lt;0.01,"OK","MISMATCH")</f>
        <v>OK</v>
      </c>
      <c r="N7" s="28" t="inlineStr">
        <is>
          <t>Director; Officer (Chairman &amp; CEO)</t>
        </is>
      </c>
      <c r="O7" s="33" t="n">
        <v>3918682625.44</v>
      </c>
      <c r="P7" s="28" t="str">
        <f>IF(AND(O7&gt;=200000000,O7&lt;=20000000000),"IN BAND","OUT")</f>
        <v>IN BAND</v>
      </c>
      <c r="Q7" s="28" t="inlineStr">
        <is>
          <t>6798</t>
        </is>
      </c>
      <c r="R7" s="34" t="inlineStr">
        <is>
          <t>https://www.sec.gov/Archives/edgar/data/1066725/000120919120013688/doc4.xml</t>
        </is>
      </c>
    </row>
    <row r="8">
      <c r="B8" s="28" t="n">
        <v>1662107</v>
      </c>
      <c r="C8" s="28" t="inlineStr">
        <is>
          <t>Avery Chris</t>
        </is>
      </c>
      <c r="D8" s="28" t="inlineStr">
        <is>
          <t>CULLEN/FROST BANKERS, INC.</t>
        </is>
      </c>
      <c r="E8" s="28" t="inlineStr">
        <is>
          <t>CFR</t>
        </is>
      </c>
      <c r="F8" s="28" t="inlineStr">
        <is>
          <t>NYSE</t>
        </is>
      </c>
      <c r="G8" s="28" t="inlineStr">
        <is>
          <t>2020-02-28</t>
        </is>
      </c>
      <c r="H8" s="28" t="inlineStr">
        <is>
          <t>2020-02-27</t>
        </is>
      </c>
      <c r="I8" s="30" t="n">
        <v>4000</v>
      </c>
      <c r="J8" s="31" t="n">
        <v>83.90000000000001</v>
      </c>
      <c r="K8" s="32" t="n">
        <v>335600</v>
      </c>
      <c r="L8" s="32">
        <f>I8*J8</f>
        <v>335600.0</v>
      </c>
      <c r="M8" s="28" t="str">
        <f>IF(ABS(K8-L8)&lt;0.01,"OK","MISMATCH")</f>
        <v>OK</v>
      </c>
      <c r="N8" s="28" t="inlineStr">
        <is>
          <t>Director</t>
        </is>
      </c>
      <c r="O8" s="33" t="n">
        <v>5258613220.6</v>
      </c>
      <c r="P8" s="28" t="str">
        <f>IF(AND(O8&gt;=200000000,O8&lt;=20000000000),"IN BAND","OUT")</f>
        <v>IN BAND</v>
      </c>
      <c r="Q8" s="28" t="inlineStr">
        <is>
          <t>6021</t>
        </is>
      </c>
      <c r="R8" s="34" t="inlineStr">
        <is>
          <t>https://www.sec.gov/Archives/edgar/data/1662107/000120919120013864/doc4.xml</t>
        </is>
      </c>
    </row>
    <row r="9">
      <c r="B9" s="28" t="n">
        <v>879764</v>
      </c>
      <c r="C9" s="28" t="inlineStr">
        <is>
          <t>TOTAL S.A.</t>
        </is>
      </c>
      <c r="D9" s="28" t="inlineStr">
        <is>
          <t>SUNPOWER CORP</t>
        </is>
      </c>
      <c r="E9" s="28" t="inlineStr">
        <is>
          <t>SPWR</t>
        </is>
      </c>
      <c r="F9" s="29" t="inlineStr">
        <is>
          <t>NYSE/Nasdaq (inferred, not in current listing file)</t>
        </is>
      </c>
      <c r="G9" s="28" t="inlineStr">
        <is>
          <t>2020-02-28</t>
        </is>
      </c>
      <c r="H9" s="28" t="inlineStr">
        <is>
          <t>2020-02-27</t>
        </is>
      </c>
      <c r="I9" s="30" t="n">
        <v>258662</v>
      </c>
      <c r="J9" s="31" t="n">
        <v>8.4658</v>
      </c>
      <c r="K9" s="32" t="n">
        <v>2189780.76</v>
      </c>
      <c r="L9" s="32">
        <f>I9*J9</f>
        <v>2189780.7596</v>
      </c>
      <c r="M9" s="28" t="str">
        <f>IF(ABS(K9-L9)&lt;0.01,"OK","MISMATCH")</f>
        <v>OK</v>
      </c>
      <c r="N9" s="28" t="inlineStr">
        <is>
          <t>Director</t>
        </is>
      </c>
      <c r="O9" s="33" t="n">
        <v>1425594251.22</v>
      </c>
      <c r="P9" s="28" t="str">
        <f>IF(AND(O9&gt;=200000000,O9&lt;=20000000000),"IN BAND","OUT")</f>
        <v>IN BAND</v>
      </c>
      <c r="Q9" s="28" t="inlineStr">
        <is>
          <t>1311</t>
        </is>
      </c>
      <c r="R9" s="34" t="inlineStr">
        <is>
          <t>https://www.sec.gov/Archives/edgar/data/879764/000089924320006386/doc4.xml</t>
        </is>
      </c>
    </row>
    <row r="10">
      <c r="B10" s="28" t="n">
        <v>1012998</v>
      </c>
      <c r="C10" s="28" t="inlineStr">
        <is>
          <t>ZOLEY GEORGE C</t>
        </is>
      </c>
      <c r="D10" s="28" t="inlineStr">
        <is>
          <t>GEO GROUP INC</t>
        </is>
      </c>
      <c r="E10" s="28" t="inlineStr">
        <is>
          <t>GEO</t>
        </is>
      </c>
      <c r="F10" s="28" t="inlineStr">
        <is>
          <t>NYSE</t>
        </is>
      </c>
      <c r="G10" s="28" t="inlineStr">
        <is>
          <t>2020-02-28</t>
        </is>
      </c>
      <c r="H10" s="28" t="inlineStr">
        <is>
          <t>2020-02-26</t>
        </is>
      </c>
      <c r="I10" s="30" t="n">
        <v>250000</v>
      </c>
      <c r="J10" s="31" t="n">
        <v>16.1744</v>
      </c>
      <c r="K10" s="32" t="n">
        <v>4043600</v>
      </c>
      <c r="L10" s="32">
        <f>I10*J10</f>
        <v>4043599.9999999995</v>
      </c>
      <c r="M10" s="28" t="str">
        <f>IF(ABS(K10-L10)&lt;0.01,"OK","MISMATCH")</f>
        <v>OK</v>
      </c>
      <c r="N10" s="28" t="inlineStr">
        <is>
          <t>Director; Officer (Chairman &amp; CEO)</t>
        </is>
      </c>
      <c r="O10" s="33" t="n">
        <v>1960948753.19</v>
      </c>
      <c r="P10" s="28" t="str">
        <f>IF(AND(O10&gt;=200000000,O10&lt;=20000000000),"IN BAND","OUT")</f>
        <v>IN BAND</v>
      </c>
      <c r="Q10" s="28" t="inlineStr">
        <is>
          <t>6798</t>
        </is>
      </c>
      <c r="R10" s="34" t="inlineStr">
        <is>
          <t>https://www.sec.gov/Archives/edgar/data/1012998/000120919120013871/doc4.xml</t>
        </is>
      </c>
    </row>
    <row r="11">
      <c r="B11" s="28" t="n">
        <v>1379664</v>
      </c>
      <c r="C11" s="28" t="inlineStr">
        <is>
          <t>Monroe James III</t>
        </is>
      </c>
      <c r="D11" s="28" t="inlineStr">
        <is>
          <t>Globalstar, Inc.</t>
        </is>
      </c>
      <c r="E11" s="28" t="inlineStr">
        <is>
          <t>GSAT</t>
        </is>
      </c>
      <c r="F11" s="28" t="inlineStr">
        <is>
          <t>Nasdaq</t>
        </is>
      </c>
      <c r="G11" s="28" t="inlineStr">
        <is>
          <t>2014-11-17</t>
        </is>
      </c>
      <c r="H11" s="28" t="inlineStr">
        <is>
          <t>2014-11-13</t>
        </is>
      </c>
      <c r="I11" s="30" t="n">
        <v>230000</v>
      </c>
      <c r="J11" s="31" t="n">
        <v>2.8225</v>
      </c>
      <c r="K11" s="32" t="n">
        <v>649175</v>
      </c>
      <c r="L11" s="32">
        <f>I11*J11</f>
        <v>649175.0</v>
      </c>
      <c r="M11" s="28" t="str">
        <f>IF(ABS(K11-L11)&lt;0.01,"OK","MISMATCH")</f>
        <v>OK</v>
      </c>
      <c r="N11" s="28" t="inlineStr">
        <is>
          <t>Director; Officer (Chief Executive Officer)</t>
        </is>
      </c>
      <c r="O11" s="33" t="n">
        <v>356884190.52</v>
      </c>
      <c r="P11" s="28" t="str">
        <f>IF(AND(O11&gt;=200000000,O11&lt;=20000000000),"IN BAND","OUT")</f>
        <v>IN BAND</v>
      </c>
      <c r="Q11" s="28" t="inlineStr">
        <is>
          <t>4899</t>
        </is>
      </c>
      <c r="R11" s="34" t="inlineStr">
        <is>
          <t>https://www.sec.gov/Archives/edgar/data/1366868/000136686814000060/wf-form4_141622666707196.xml</t>
        </is>
      </c>
    </row>
    <row r="12">
      <c r="B12" s="28" t="n">
        <v>1645339</v>
      </c>
      <c r="C12" s="28" t="inlineStr">
        <is>
          <t>Cahill Douglas</t>
        </is>
      </c>
      <c r="D12" s="28" t="inlineStr">
        <is>
          <t>Hillman Solutions Corp.</t>
        </is>
      </c>
      <c r="E12" s="28" t="inlineStr">
        <is>
          <t>HLMN</t>
        </is>
      </c>
      <c r="F12" s="28" t="inlineStr">
        <is>
          <t>Nasdaq</t>
        </is>
      </c>
      <c r="G12" s="28" t="inlineStr">
        <is>
          <t>2022-03-07</t>
        </is>
      </c>
      <c r="H12" s="28" t="inlineStr">
        <is>
          <t>2022-03-07</t>
        </is>
      </c>
      <c r="I12" s="30" t="n">
        <v>94786</v>
      </c>
      <c r="J12" s="31" t="n">
        <v>10.6</v>
      </c>
      <c r="K12" s="32" t="n">
        <v>1004731.6</v>
      </c>
      <c r="L12" s="32">
        <f>I12*J12</f>
        <v>1004731.6</v>
      </c>
      <c r="M12" s="28" t="str">
        <f>IF(ABS(K12-L12)&lt;0.01,"OK","MISMATCH")</f>
        <v>OK</v>
      </c>
      <c r="N12" s="28" t="inlineStr">
        <is>
          <t>Director; Officer (COB, President and CEO)</t>
        </is>
      </c>
      <c r="O12" s="33" t="n">
        <v>1988236816.6</v>
      </c>
      <c r="P12" s="28" t="str">
        <f>IF(AND(O12&gt;=200000000,O12&lt;=20000000000),"IN BAND","OUT")</f>
        <v>IN BAND</v>
      </c>
      <c r="Q12" s="28" t="inlineStr">
        <is>
          <t>3420</t>
        </is>
      </c>
      <c r="R12" s="34" t="inlineStr">
        <is>
          <t>https://www.sec.gov/Archives/edgar/data/1645339/000182249222000023/wf-form4_164667750331292.xml</t>
        </is>
      </c>
    </row>
    <row r="13">
      <c r="B13" s="28" t="n">
        <v>1106232</v>
      </c>
      <c r="C13" s="28" t="inlineStr">
        <is>
          <t>LEIGHTON F THOMSON</t>
        </is>
      </c>
      <c r="D13" s="28" t="inlineStr">
        <is>
          <t>AKAMAI TECHNOLOGIES INC</t>
        </is>
      </c>
      <c r="E13" s="28" t="inlineStr">
        <is>
          <t>AKAM</t>
        </is>
      </c>
      <c r="F13" s="28" t="inlineStr">
        <is>
          <t>Nasdaq</t>
        </is>
      </c>
      <c r="G13" s="28" t="inlineStr">
        <is>
          <t>2016-03-17</t>
        </is>
      </c>
      <c r="H13" s="28" t="inlineStr">
        <is>
          <t>2016-03-16</t>
        </is>
      </c>
      <c r="I13" s="30" t="n">
        <v>18126</v>
      </c>
      <c r="J13" s="31" t="n">
        <v>55.16</v>
      </c>
      <c r="K13" s="32" t="n">
        <v>999830.16</v>
      </c>
      <c r="L13" s="32">
        <f>I13*J13</f>
        <v>999830.1599999999</v>
      </c>
      <c r="M13" s="28" t="str">
        <f>IF(ABS(K13-L13)&lt;0.01,"OK","MISMATCH")</f>
        <v>OK</v>
      </c>
      <c r="N13" s="28" t="inlineStr">
        <is>
          <t>Director; Officer (Chief Executive Officer)</t>
        </is>
      </c>
      <c r="O13" s="33" t="n">
        <v>9749393809.959999</v>
      </c>
      <c r="P13" s="28" t="str">
        <f>IF(AND(O13&gt;=200000000,O13&lt;=20000000000),"IN BAND","OUT")</f>
        <v>IN BAND</v>
      </c>
      <c r="Q13" s="28" t="inlineStr">
        <is>
          <t>7389</t>
        </is>
      </c>
      <c r="R13" s="34" t="inlineStr">
        <is>
          <t>https://www.sec.gov/Archives/edgar/data/1086222/000108622216000272/wf-form4_145824571476284.xml</t>
        </is>
      </c>
    </row>
    <row r="14">
      <c r="B14" s="28" t="n">
        <v>1466605</v>
      </c>
      <c r="C14" s="28" t="inlineStr">
        <is>
          <t>LIVEK WILLIAM PAUL</t>
        </is>
      </c>
      <c r="D14" s="28" t="inlineStr">
        <is>
          <t>COMSCORE, INC.</t>
        </is>
      </c>
      <c r="E14" s="28" t="inlineStr">
        <is>
          <t>SCOR</t>
        </is>
      </c>
      <c r="F14" s="28" t="inlineStr">
        <is>
          <t>Nasdaq</t>
        </is>
      </c>
      <c r="G14" s="28" t="inlineStr">
        <is>
          <t>2022-03-07</t>
        </is>
      </c>
      <c r="H14" s="28" t="inlineStr">
        <is>
          <t>2022-03-03</t>
        </is>
      </c>
      <c r="I14" s="30" t="n">
        <v>130002</v>
      </c>
      <c r="J14" s="31" t="n">
        <v>2.54</v>
      </c>
      <c r="K14" s="32" t="n">
        <v>330205.08</v>
      </c>
      <c r="L14" s="32">
        <f>I14*J14</f>
        <v>330205.08</v>
      </c>
      <c r="M14" s="28" t="str">
        <f>IF(ABS(K14-L14)&lt;0.01,"OK","MISMATCH")</f>
        <v>OK</v>
      </c>
      <c r="N14" s="28" t="inlineStr">
        <is>
          <t>Director; Officer (See Remarks)</t>
        </is>
      </c>
      <c r="O14" s="33" t="n">
        <v>229714018.6</v>
      </c>
      <c r="P14" s="28" t="str">
        <f>IF(AND(O14&gt;=200000000,O14&lt;=20000000000),"IN BAND","OUT")</f>
        <v>IN BAND</v>
      </c>
      <c r="Q14" s="28" t="inlineStr">
        <is>
          <t>7389</t>
        </is>
      </c>
      <c r="R14" s="34" t="inlineStr">
        <is>
          <t>https://www.sec.gov/Archives/edgar/data/1466605/000115817222000015/wf-form4_164668987831148.xml</t>
        </is>
      </c>
    </row>
    <row r="15">
      <c r="B15" s="28" t="n">
        <v>1349214</v>
      </c>
      <c r="C15" s="28" t="inlineStr">
        <is>
          <t>Stevens Jeff A</t>
        </is>
      </c>
      <c r="D15" s="28" t="inlineStr">
        <is>
          <t>ANDEAVOR LOGISTICS LP</t>
        </is>
      </c>
      <c r="E15" s="28" t="inlineStr">
        <is>
          <t>ANDX</t>
        </is>
      </c>
      <c r="F15" s="29" t="inlineStr">
        <is>
          <t>NYSE/Nasdaq (inferred, not in current listing file)</t>
        </is>
      </c>
      <c r="G15" s="28" t="inlineStr">
        <is>
          <t>2018-08-28</t>
        </is>
      </c>
      <c r="H15" s="28" t="inlineStr">
        <is>
          <t>2018-08-27</t>
        </is>
      </c>
      <c r="I15" s="30" t="n">
        <v>25000</v>
      </c>
      <c r="J15" s="31" t="n">
        <v>50.1</v>
      </c>
      <c r="K15" s="32" t="n">
        <v>1252500</v>
      </c>
      <c r="L15" s="32">
        <f>I15*J15</f>
        <v>1252500.0</v>
      </c>
      <c r="M15" s="28" t="str">
        <f>IF(ABS(K15-L15)&lt;0.01,"OK","MISMATCH")</f>
        <v>OK</v>
      </c>
      <c r="N15" s="28" t="inlineStr">
        <is>
          <t>Director</t>
        </is>
      </c>
      <c r="O15" s="33" t="n">
        <v>10881168950.1</v>
      </c>
      <c r="P15" s="28" t="str">
        <f>IF(AND(O15&gt;=200000000,O15&lt;=20000000000),"IN BAND","OUT")</f>
        <v>IN BAND</v>
      </c>
      <c r="Q15" s="28" t="inlineStr">
        <is>
          <t>4610</t>
        </is>
      </c>
      <c r="R15" s="34" t="inlineStr">
        <is>
          <t>https://www.sec.gov/Archives/edgar/data/1349214/000150761518000067/wf-form4_153548839885986.xml</t>
        </is>
      </c>
    </row>
    <row r="16">
      <c r="B16" s="28" t="n">
        <v>1584585</v>
      </c>
      <c r="C16" s="28" t="inlineStr">
        <is>
          <t>Feldstein Andrew T</t>
        </is>
      </c>
      <c r="D16" s="28" t="inlineStr">
        <is>
          <t>ASSURED GUARANTY LTD</t>
        </is>
      </c>
      <c r="E16" s="28" t="inlineStr">
        <is>
          <t>AGO</t>
        </is>
      </c>
      <c r="F16" s="28" t="inlineStr">
        <is>
          <t>NYSE</t>
        </is>
      </c>
      <c r="G16" s="28" t="inlineStr">
        <is>
          <t>2019-12-02</t>
        </is>
      </c>
      <c r="H16" s="28" t="inlineStr">
        <is>
          <t>2019-11-27</t>
        </is>
      </c>
      <c r="I16" s="30" t="n">
        <v>8525</v>
      </c>
      <c r="J16" s="31" t="n">
        <v>49.79</v>
      </c>
      <c r="K16" s="32" t="n">
        <v>424459.75</v>
      </c>
      <c r="L16" s="32">
        <f>I16*J16</f>
        <v>424459.75</v>
      </c>
      <c r="M16" s="28" t="str">
        <f>IF(ABS(K16-L16)&lt;0.01,"OK","MISMATCH")</f>
        <v>OK</v>
      </c>
      <c r="N16" s="28" t="inlineStr">
        <is>
          <t>Officer (Chief Investment Officer)</t>
        </is>
      </c>
      <c r="O16" s="33" t="n">
        <v>4749516495.88</v>
      </c>
      <c r="P16" s="28" t="str">
        <f>IF(AND(O16&gt;=200000000,O16&lt;=20000000000),"IN BAND","OUT")</f>
        <v>IN BAND</v>
      </c>
      <c r="Q16" s="28" t="inlineStr">
        <is>
          <t>6351</t>
        </is>
      </c>
      <c r="R16" s="34" t="inlineStr">
        <is>
          <t>https://www.sec.gov/Archives/edgar/data/1584585/000120919119058555/doc4.xml</t>
        </is>
      </c>
    </row>
    <row r="17">
      <c r="B17" s="28" t="n">
        <v>1072813</v>
      </c>
      <c r="C17" s="28" t="inlineStr">
        <is>
          <t>LAPEYRE JAMES M JR</t>
        </is>
      </c>
      <c r="D17" s="28" t="inlineStr">
        <is>
          <t>ION GEOPHYSICAL CORP</t>
        </is>
      </c>
      <c r="E17" s="28" t="inlineStr">
        <is>
          <t>IO</t>
        </is>
      </c>
      <c r="F17" s="29" t="inlineStr">
        <is>
          <t>NYSE/Nasdaq (inferred, not in current listing file)</t>
        </is>
      </c>
      <c r="G17" s="28" t="inlineStr">
        <is>
          <t>2014-05-08</t>
        </is>
      </c>
      <c r="H17" s="28" t="inlineStr">
        <is>
          <t>2014-05-06</t>
        </is>
      </c>
      <c r="I17" s="30" t="n">
        <v>100000</v>
      </c>
      <c r="J17" s="31" t="n">
        <v>4.0741</v>
      </c>
      <c r="K17" s="32" t="n">
        <v>407410</v>
      </c>
      <c r="L17" s="32">
        <f>I17*J17</f>
        <v>407409.99999999994</v>
      </c>
      <c r="M17" s="28" t="str">
        <f>IF(ABS(K17-L17)&lt;0.01,"OK","MISMATCH")</f>
        <v>OK</v>
      </c>
      <c r="N17" s="28" t="inlineStr">
        <is>
          <t>Director</t>
        </is>
      </c>
      <c r="O17" s="33" t="n">
        <v>668353289.8</v>
      </c>
      <c r="P17" s="28" t="str">
        <f>IF(AND(O17&gt;=200000000,O17&lt;=20000000000),"IN BAND","OUT")</f>
        <v>IN BAND</v>
      </c>
      <c r="Q17" s="28" t="inlineStr">
        <is>
          <t>1382</t>
        </is>
      </c>
      <c r="R17" s="34" t="inlineStr">
        <is>
          <t>https://www.sec.gov/Archives/edgar/data/866609/000120919114032087/doc4.xml</t>
        </is>
      </c>
    </row>
    <row r="18">
      <c r="B18" s="28" t="n">
        <v>1050047</v>
      </c>
      <c r="C18" s="28" t="inlineStr">
        <is>
          <t>BOLDUC JOHN</t>
        </is>
      </c>
      <c r="D18" s="28" t="inlineStr">
        <is>
          <t>WhiteHorse Finance, Inc.</t>
        </is>
      </c>
      <c r="E18" s="28" t="inlineStr">
        <is>
          <t>WHF</t>
        </is>
      </c>
      <c r="F18" s="28" t="inlineStr">
        <is>
          <t>Nasdaq</t>
        </is>
      </c>
      <c r="G18" s="28" t="inlineStr">
        <is>
          <t>2014-11-17</t>
        </is>
      </c>
      <c r="H18" s="28" t="inlineStr">
        <is>
          <t>2014-11-13</t>
        </is>
      </c>
      <c r="I18" s="30" t="n">
        <v>20800</v>
      </c>
      <c r="J18" s="31" t="n">
        <v>12.47</v>
      </c>
      <c r="K18" s="32" t="n">
        <v>259376</v>
      </c>
      <c r="L18" s="32">
        <f>I18*J18</f>
        <v>259376.0</v>
      </c>
      <c r="M18" s="28" t="str">
        <f>IF(ABS(K18-L18)&lt;0.01,"OK","MISMATCH")</f>
        <v>OK</v>
      </c>
      <c r="N18" s="28" t="inlineStr">
        <is>
          <t>Director</t>
        </is>
      </c>
      <c r="O18" s="33" t="n">
        <v>267811593.37</v>
      </c>
      <c r="P18" s="28" t="str">
        <f>IF(AND(O18&gt;=200000000,O18&lt;=20000000000),"IN BAND","OUT")</f>
        <v>IN BAND</v>
      </c>
      <c r="Q18" s="28" t="inlineStr"/>
      <c r="R18" s="34" t="inlineStr">
        <is>
          <t>https://www.sec.gov/Archives/edgar/data/1552198/000114036114042496/doc1.xml</t>
        </is>
      </c>
    </row>
    <row r="19">
      <c r="B19" s="28" t="n">
        <v>1319154</v>
      </c>
      <c r="C19" s="28" t="inlineStr">
        <is>
          <t>Hanrahan Daniel J</t>
        </is>
      </c>
      <c r="D19" s="28" t="inlineStr">
        <is>
          <t>CEDAR FAIR L P</t>
        </is>
      </c>
      <c r="E19" s="28" t="inlineStr">
        <is>
          <t>FUN</t>
        </is>
      </c>
      <c r="F19" s="29" t="inlineStr">
        <is>
          <t>NYSE/Nasdaq (inferred, not in current listing file)</t>
        </is>
      </c>
      <c r="G19" s="28" t="inlineStr">
        <is>
          <t>2020-02-28</t>
        </is>
      </c>
      <c r="H19" s="28" t="inlineStr">
        <is>
          <t>2020-02-26</t>
        </is>
      </c>
      <c r="I19" s="30" t="n">
        <v>11250</v>
      </c>
      <c r="J19" s="31" t="n">
        <v>44.36</v>
      </c>
      <c r="K19" s="32" t="n">
        <v>499050</v>
      </c>
      <c r="L19" s="32">
        <f>I19*J19</f>
        <v>499050.0</v>
      </c>
      <c r="M19" s="28" t="str">
        <f>IF(ABS(K19-L19)&lt;0.01,"OK","MISMATCH")</f>
        <v>OK</v>
      </c>
      <c r="N19" s="28" t="inlineStr">
        <is>
          <t>Director</t>
        </is>
      </c>
      <c r="O19" s="33" t="n">
        <v>2513856846.36</v>
      </c>
      <c r="P19" s="28" t="str">
        <f>IF(AND(O19&gt;=200000000,O19&lt;=20000000000),"IN BAND","OUT")</f>
        <v>IN BAND</v>
      </c>
      <c r="Q19" s="28" t="inlineStr">
        <is>
          <t>7990</t>
        </is>
      </c>
      <c r="R19" s="34" t="inlineStr">
        <is>
          <t>https://www.sec.gov/Archives/edgar/data/1319154/000081153220000052/wf-form4_158292724283533.xml</t>
        </is>
      </c>
    </row>
    <row r="20">
      <c r="B20" s="28" t="n">
        <v>1606894</v>
      </c>
      <c r="C20" s="28" t="inlineStr">
        <is>
          <t>Thomsen Brian</t>
        </is>
      </c>
      <c r="D20" s="28" t="inlineStr">
        <is>
          <t>Bunge LTD</t>
        </is>
      </c>
      <c r="E20" s="28" t="inlineStr">
        <is>
          <t>BG</t>
        </is>
      </c>
      <c r="F20" s="29" t="inlineStr">
        <is>
          <t>NYSE/Nasdaq (inferred, not in current listing file)</t>
        </is>
      </c>
      <c r="G20" s="28" t="inlineStr">
        <is>
          <t>2014-05-08</t>
        </is>
      </c>
      <c r="H20" s="28" t="inlineStr">
        <is>
          <t>2014-05-06</t>
        </is>
      </c>
      <c r="I20" s="30" t="n">
        <v>10000</v>
      </c>
      <c r="J20" s="31" t="n">
        <v>75.84</v>
      </c>
      <c r="K20" s="32" t="n">
        <v>758400</v>
      </c>
      <c r="L20" s="32">
        <f>I20*J20</f>
        <v>758400.0</v>
      </c>
      <c r="M20" s="28" t="str">
        <f>IF(ABS(K20-L20)&lt;0.01,"OK","MISMATCH")</f>
        <v>OK</v>
      </c>
      <c r="N20" s="28" t="inlineStr">
        <is>
          <t>Officer (See Remarks below)</t>
        </is>
      </c>
      <c r="O20" s="33" t="n">
        <v>11164575295.68</v>
      </c>
      <c r="P20" s="28" t="str">
        <f>IF(AND(O20&gt;=200000000,O20&lt;=20000000000),"IN BAND","OUT")</f>
        <v>IN BAND</v>
      </c>
      <c r="Q20" s="28" t="inlineStr">
        <is>
          <t>2070</t>
        </is>
      </c>
      <c r="R20" s="34" t="inlineStr">
        <is>
          <t>https://www.sec.gov/Archives/edgar/data/1144519/000101968714001705/thomsen_f4.xml</t>
        </is>
      </c>
    </row>
    <row r="21">
      <c r="B21" s="28" t="n">
        <v>1031609</v>
      </c>
      <c r="C21" s="28" t="inlineStr">
        <is>
          <t>WEISENBURGER RANDALL J</t>
        </is>
      </c>
      <c r="D21" s="28" t="inlineStr">
        <is>
          <t>MP Materials Corp. / DE</t>
        </is>
      </c>
      <c r="E21" s="28" t="inlineStr">
        <is>
          <t>MP</t>
        </is>
      </c>
      <c r="F21" s="28" t="inlineStr">
        <is>
          <t>NYSE</t>
        </is>
      </c>
      <c r="G21" s="28" t="inlineStr">
        <is>
          <t>2022-03-07</t>
        </is>
      </c>
      <c r="H21" s="28" t="inlineStr">
        <is>
          <t>2022-03-07</t>
        </is>
      </c>
      <c r="I21" s="30" t="n">
        <v>30000</v>
      </c>
      <c r="J21" s="31" t="n">
        <v>38.4</v>
      </c>
      <c r="K21" s="32" t="n">
        <v>1152000</v>
      </c>
      <c r="L21" s="32">
        <f>I21*J21</f>
        <v>1152000.0</v>
      </c>
      <c r="M21" s="28" t="str">
        <f>IF(ABS(K21-L21)&lt;0.01,"OK","MISMATCH")</f>
        <v>OK</v>
      </c>
      <c r="N21" s="28" t="inlineStr">
        <is>
          <t>Director</t>
        </is>
      </c>
      <c r="O21" s="33" t="n">
        <v>6816959731.2</v>
      </c>
      <c r="P21" s="28" t="str">
        <f>IF(AND(O21&gt;=200000000,O21&lt;=20000000000),"IN BAND","OUT")</f>
        <v>IN BAND</v>
      </c>
      <c r="Q21" s="28" t="inlineStr">
        <is>
          <t>1000</t>
        </is>
      </c>
      <c r="R21" s="34" t="inlineStr">
        <is>
          <t>https://www.sec.gov/Archives/edgar/data/1031609/000120919122016577/doc4.xml</t>
        </is>
      </c>
    </row>
    <row r="22">
      <c r="B22" s="28" t="n">
        <v>1550099</v>
      </c>
      <c r="C22" s="28" t="inlineStr">
        <is>
          <t>Beltzman Daniel Gordon</t>
        </is>
      </c>
      <c r="D22" s="28" t="inlineStr">
        <is>
          <t>REGIS CORP</t>
        </is>
      </c>
      <c r="E22" s="28" t="inlineStr">
        <is>
          <t>RGS</t>
        </is>
      </c>
      <c r="F22" s="28" t="inlineStr">
        <is>
          <t>Nasdaq</t>
        </is>
      </c>
      <c r="G22" s="28" t="inlineStr">
        <is>
          <t>2014-05-08</t>
        </is>
      </c>
      <c r="H22" s="28" t="inlineStr">
        <is>
          <t>2014-05-06</t>
        </is>
      </c>
      <c r="I22" s="30" t="n">
        <v>39901</v>
      </c>
      <c r="J22" s="31" t="n">
        <v>13.1712</v>
      </c>
      <c r="K22" s="32" t="n">
        <v>525544.05</v>
      </c>
      <c r="L22" s="32">
        <f>I22*J22</f>
        <v>525544.0512</v>
      </c>
      <c r="M22" s="28" t="str">
        <f>IF(ABS(K22-L22)&lt;0.01,"OK","MISMATCH")</f>
        <v>OK</v>
      </c>
      <c r="N22" s="28" t="inlineStr">
        <is>
          <t>Director</t>
        </is>
      </c>
      <c r="O22" s="33" t="n">
        <v>746502284.77</v>
      </c>
      <c r="P22" s="28" t="str">
        <f>IF(AND(O22&gt;=200000000,O22&lt;=20000000000),"IN BAND","OUT")</f>
        <v>IN BAND</v>
      </c>
      <c r="Q22" s="28" t="inlineStr">
        <is>
          <t>7200</t>
        </is>
      </c>
      <c r="R22" s="34" t="inlineStr">
        <is>
          <t>https://www.sec.gov/Archives/edgar/data/716643/000155009914000003/primary_doc.xml</t>
        </is>
      </c>
    </row>
    <row r="23">
      <c r="B23" s="28" t="n">
        <v>1331563</v>
      </c>
      <c r="C23" s="28" t="inlineStr">
        <is>
          <t>Drucker Charles</t>
        </is>
      </c>
      <c r="D23" s="28" t="inlineStr">
        <is>
          <t>Donnelley Financial Solutions, Inc.</t>
        </is>
      </c>
      <c r="E23" s="28" t="inlineStr">
        <is>
          <t>DFIN</t>
        </is>
      </c>
      <c r="F23" s="28" t="inlineStr">
        <is>
          <t>NYSE</t>
        </is>
      </c>
      <c r="G23" s="28" t="inlineStr">
        <is>
          <t>2020-02-28</t>
        </is>
      </c>
      <c r="H23" s="28" t="inlineStr">
        <is>
          <t>2020-02-27</t>
        </is>
      </c>
      <c r="I23" s="30" t="n">
        <v>40000</v>
      </c>
      <c r="J23" s="31" t="n">
        <v>8.625299999999999</v>
      </c>
      <c r="K23" s="32" t="n">
        <v>345012</v>
      </c>
      <c r="L23" s="32">
        <f>I23*J23</f>
        <v>345012.0</v>
      </c>
      <c r="M23" s="28" t="str">
        <f>IF(ABS(K23-L23)&lt;0.01,"OK","MISMATCH")</f>
        <v>OK</v>
      </c>
      <c r="N23" s="28" t="inlineStr">
        <is>
          <t>Director</t>
        </is>
      </c>
      <c r="O23" s="33" t="n">
        <v>295450387.93</v>
      </c>
      <c r="P23" s="28" t="str">
        <f>IF(AND(O23&gt;=200000000,O23&lt;=20000000000),"IN BAND","OUT")</f>
        <v>IN BAND</v>
      </c>
      <c r="Q23" s="28" t="inlineStr">
        <is>
          <t>7380</t>
        </is>
      </c>
      <c r="R23" s="34" t="inlineStr">
        <is>
          <t>https://www.sec.gov/Archives/edgar/data/1331563/000120919120013774/doc4.xml</t>
        </is>
      </c>
    </row>
    <row r="24">
      <c r="B24" s="28" t="n">
        <v>1182464</v>
      </c>
      <c r="C24" s="28" t="inlineStr">
        <is>
          <t>GOEDDEL DAVID V</t>
        </is>
      </c>
      <c r="D24" s="28" t="inlineStr">
        <is>
          <t>NGM BIOPHARMACEUTICALS INC</t>
        </is>
      </c>
      <c r="E24" s="28" t="inlineStr">
        <is>
          <t>NGM</t>
        </is>
      </c>
      <c r="F24" s="29" t="inlineStr">
        <is>
          <t>NYSE/Nasdaq (inferred, not in current listing file)</t>
        </is>
      </c>
      <c r="G24" s="28" t="inlineStr">
        <is>
          <t>2020-02-28</t>
        </is>
      </c>
      <c r="H24" s="28" t="inlineStr">
        <is>
          <t>2020-02-27</t>
        </is>
      </c>
      <c r="I24" s="30" t="n">
        <v>33896</v>
      </c>
      <c r="J24" s="31" t="n">
        <v>17.91</v>
      </c>
      <c r="K24" s="32" t="n">
        <v>607077.36</v>
      </c>
      <c r="L24" s="32">
        <f>I24*J24</f>
        <v>607077.36</v>
      </c>
      <c r="M24" s="28" t="str">
        <f>IF(ABS(K24-L24)&lt;0.01,"OK","MISMATCH")</f>
        <v>OK</v>
      </c>
      <c r="N24" s="28" t="inlineStr">
        <is>
          <t>Director</t>
        </is>
      </c>
      <c r="O24" s="33" t="n">
        <v>1193783688.99</v>
      </c>
      <c r="P24" s="28" t="str">
        <f>IF(AND(O24&gt;=200000000,O24&lt;=20000000000),"IN BAND","OUT")</f>
        <v>IN BAND</v>
      </c>
      <c r="Q24" s="28" t="inlineStr">
        <is>
          <t>2834</t>
        </is>
      </c>
      <c r="R24" s="34" t="inlineStr">
        <is>
          <t>https://www.sec.gov/Archives/edgar/data/1182464/000120919120014193/doc4.xml</t>
        </is>
      </c>
    </row>
    <row r="25">
      <c r="B25" s="28" t="n">
        <v>1221359</v>
      </c>
      <c r="C25" s="28" t="inlineStr">
        <is>
          <t>RADY ERNEST S</t>
        </is>
      </c>
      <c r="D25" s="28" t="inlineStr">
        <is>
          <t>American Assets Trust, Inc.</t>
        </is>
      </c>
      <c r="E25" s="28" t="inlineStr">
        <is>
          <t>AAT</t>
        </is>
      </c>
      <c r="F25" s="28" t="inlineStr">
        <is>
          <t>NYSE</t>
        </is>
      </c>
      <c r="G25" s="28" t="inlineStr">
        <is>
          <t>2020-02-28</t>
        </is>
      </c>
      <c r="H25" s="28" t="inlineStr">
        <is>
          <t>2020-02-27</t>
        </is>
      </c>
      <c r="I25" s="30" t="n">
        <v>10000</v>
      </c>
      <c r="J25" s="31" t="n">
        <v>42.84</v>
      </c>
      <c r="K25" s="32" t="n">
        <v>428400</v>
      </c>
      <c r="L25" s="32">
        <f>I25*J25</f>
        <v>428400.00000000006</v>
      </c>
      <c r="M25" s="28" t="str">
        <f>IF(ABS(K25-L25)&lt;0.01,"OK","MISMATCH")</f>
        <v>OK</v>
      </c>
      <c r="N25" s="28" t="inlineStr">
        <is>
          <t>Director; Officer (Chairman, CEO &amp; President)</t>
        </is>
      </c>
      <c r="O25" s="33" t="n">
        <v>2573322887.52</v>
      </c>
      <c r="P25" s="28" t="str">
        <f>IF(AND(O25&gt;=200000000,O25&lt;=20000000000),"IN BAND","OUT")</f>
        <v>IN BAND</v>
      </c>
      <c r="Q25" s="28" t="inlineStr">
        <is>
          <t>6798</t>
        </is>
      </c>
      <c r="R25" s="34" t="inlineStr">
        <is>
          <t>https://www.sec.gov/Archives/edgar/data/1221359/000150021720000012/wf-form4_158292519270526.xml</t>
        </is>
      </c>
    </row>
    <row r="26">
      <c r="B26" s="28" t="n">
        <v>939713</v>
      </c>
      <c r="C26" s="28" t="inlineStr">
        <is>
          <t>TUCHMAN MARTIN</t>
        </is>
      </c>
      <c r="D26" s="28" t="inlineStr">
        <is>
          <t>Fortress Transportation &amp; Infrastructure Investors LLC</t>
        </is>
      </c>
      <c r="E26" s="28" t="inlineStr">
        <is>
          <t>FTAI</t>
        </is>
      </c>
      <c r="F26" s="28" t="inlineStr">
        <is>
          <t>Nasdaq</t>
        </is>
      </c>
      <c r="G26" s="28" t="inlineStr">
        <is>
          <t>2019-09-16</t>
        </is>
      </c>
      <c r="H26" s="28" t="inlineStr">
        <is>
          <t>2019-09-12</t>
        </is>
      </c>
      <c r="I26" s="30" t="n">
        <v>50000</v>
      </c>
      <c r="J26" s="31" t="n">
        <v>25.88</v>
      </c>
      <c r="K26" s="32" t="n">
        <v>1294000</v>
      </c>
      <c r="L26" s="32">
        <f>I26*J26</f>
        <v>1294000.0</v>
      </c>
      <c r="M26" s="28" t="str">
        <f>IF(ABS(K26-L26)&lt;0.01,"OK","MISMATCH")</f>
        <v>OK</v>
      </c>
      <c r="N26" s="28" t="inlineStr">
        <is>
          <t>Director</t>
        </is>
      </c>
      <c r="O26" s="33" t="n">
        <v>2197293211.44</v>
      </c>
      <c r="P26" s="28" t="str">
        <f>IF(AND(O26&gt;=200000000,O26&lt;=20000000000),"IN BAND","OUT")</f>
        <v>IN BAND</v>
      </c>
      <c r="Q26" s="28" t="inlineStr">
        <is>
          <t>7350</t>
        </is>
      </c>
      <c r="R26" s="34" t="inlineStr">
        <is>
          <t>https://www.sec.gov/Archives/edgar/data/939713/000120919119049554/doc4.xml</t>
        </is>
      </c>
    </row>
    <row r="27">
      <c r="B27" s="28" t="n">
        <v>1284591</v>
      </c>
      <c r="C27" s="28" t="inlineStr">
        <is>
          <t>HORNBECK TODD M</t>
        </is>
      </c>
      <c r="D27" s="28" t="inlineStr">
        <is>
          <t>HORNBECK OFFSHORE SERVICES INC /LA</t>
        </is>
      </c>
      <c r="E27" s="28" t="inlineStr">
        <is>
          <t>HOS</t>
        </is>
      </c>
      <c r="F27" s="29" t="inlineStr">
        <is>
          <t>NYSE/Nasdaq (inferred, not in current listing file)</t>
        </is>
      </c>
      <c r="G27" s="28" t="inlineStr">
        <is>
          <t>2014-05-08</t>
        </is>
      </c>
      <c r="H27" s="28" t="inlineStr">
        <is>
          <t>2014-05-07</t>
        </is>
      </c>
      <c r="I27" s="30" t="n">
        <v>20000</v>
      </c>
      <c r="J27" s="31" t="n">
        <v>38.5887</v>
      </c>
      <c r="K27" s="32" t="n">
        <v>771774</v>
      </c>
      <c r="L27" s="32">
        <f>I27*J27</f>
        <v>771774.0</v>
      </c>
      <c r="M27" s="28" t="str">
        <f>IF(ABS(K27-L27)&lt;0.01,"OK","MISMATCH")</f>
        <v>OK</v>
      </c>
      <c r="N27" s="28" t="inlineStr">
        <is>
          <t>Director; Officer (President &amp; CEO)</t>
        </is>
      </c>
      <c r="O27" s="33" t="n">
        <v>1398921488.45</v>
      </c>
      <c r="P27" s="28" t="str">
        <f>IF(AND(O27&gt;=200000000,O27&lt;=20000000000),"IN BAND","OUT")</f>
        <v>IN BAND</v>
      </c>
      <c r="Q27" s="28" t="inlineStr">
        <is>
          <t>4400</t>
        </is>
      </c>
      <c r="R27" s="34" t="inlineStr">
        <is>
          <t>https://www.sec.gov/Archives/edgar/data/1131227/000118143114018488/rrd408851.xml</t>
        </is>
      </c>
    </row>
    <row r="28">
      <c r="B28" s="28" t="n">
        <v>1869790</v>
      </c>
      <c r="C28" s="28" t="inlineStr">
        <is>
          <t>Adinolfi Jon Michael</t>
        </is>
      </c>
      <c r="D28" s="28" t="inlineStr">
        <is>
          <t>Hillman Solutions Corp.</t>
        </is>
      </c>
      <c r="E28" s="28" t="inlineStr">
        <is>
          <t>HLMN</t>
        </is>
      </c>
      <c r="F28" s="28" t="inlineStr">
        <is>
          <t>Nasdaq</t>
        </is>
      </c>
      <c r="G28" s="28" t="inlineStr">
        <is>
          <t>2022-03-07</t>
        </is>
      </c>
      <c r="H28" s="28" t="inlineStr">
        <is>
          <t>2022-03-07</t>
        </is>
      </c>
      <c r="I28" s="30" t="n">
        <v>47830</v>
      </c>
      <c r="J28" s="31" t="n">
        <v>10.45</v>
      </c>
      <c r="K28" s="32" t="n">
        <v>499823.5</v>
      </c>
      <c r="L28" s="32">
        <f>I28*J28</f>
        <v>499823.49999999994</v>
      </c>
      <c r="M28" s="28" t="str">
        <f>IF(ABS(K28-L28)&lt;0.01,"OK","MISMATCH")</f>
        <v>OK</v>
      </c>
      <c r="N28" s="28" t="inlineStr">
        <is>
          <t>Officer (Div President, Hillman US)</t>
        </is>
      </c>
      <c r="O28" s="33" t="n">
        <v>1960101389.95</v>
      </c>
      <c r="P28" s="28" t="str">
        <f>IF(AND(O28&gt;=200000000,O28&lt;=20000000000),"IN BAND","OUT")</f>
        <v>IN BAND</v>
      </c>
      <c r="Q28" s="28" t="inlineStr">
        <is>
          <t>3420</t>
        </is>
      </c>
      <c r="R28" s="34" t="inlineStr">
        <is>
          <t>https://www.sec.gov/Archives/edgar/data/1869790/000182249222000028/wf-form4_164668863259235.xml</t>
        </is>
      </c>
    </row>
    <row r="29">
      <c r="B29" s="28" t="n">
        <v>1550099</v>
      </c>
      <c r="C29" s="28" t="inlineStr">
        <is>
          <t>Beltzman Daniel Gordon</t>
        </is>
      </c>
      <c r="D29" s="28" t="inlineStr">
        <is>
          <t>REGIS CORP</t>
        </is>
      </c>
      <c r="E29" s="28" t="inlineStr">
        <is>
          <t>RGS</t>
        </is>
      </c>
      <c r="F29" s="28" t="inlineStr">
        <is>
          <t>Nasdaq</t>
        </is>
      </c>
      <c r="G29" s="28" t="inlineStr">
        <is>
          <t>2014-05-08</t>
        </is>
      </c>
      <c r="H29" s="28" t="inlineStr">
        <is>
          <t>2014-05-06</t>
        </is>
      </c>
      <c r="I29" s="30" t="n">
        <v>46190</v>
      </c>
      <c r="J29" s="31" t="n">
        <v>13.1712</v>
      </c>
      <c r="K29" s="32" t="n">
        <v>608377.73</v>
      </c>
      <c r="L29" s="32">
        <f>I29*J29</f>
        <v>608377.728</v>
      </c>
      <c r="M29" s="28" t="str">
        <f>IF(ABS(K29-L29)&lt;0.01,"OK","MISMATCH")</f>
        <v>OK</v>
      </c>
      <c r="N29" s="28" t="inlineStr">
        <is>
          <t>Director</t>
        </is>
      </c>
      <c r="O29" s="33" t="n">
        <v>746502284.77</v>
      </c>
      <c r="P29" s="28" t="str">
        <f>IF(AND(O29&gt;=200000000,O29&lt;=20000000000),"IN BAND","OUT")</f>
        <v>IN BAND</v>
      </c>
      <c r="Q29" s="28" t="inlineStr">
        <is>
          <t>7200</t>
        </is>
      </c>
      <c r="R29" s="34" t="inlineStr">
        <is>
          <t>https://www.sec.gov/Archives/edgar/data/716643/000155009914000003/primary_doc.xml</t>
        </is>
      </c>
    </row>
    <row r="30">
      <c r="B30" s="28" t="n">
        <v>1589374</v>
      </c>
      <c r="C30" s="28" t="inlineStr">
        <is>
          <t>SEDDON TOM</t>
        </is>
      </c>
      <c r="D30" s="28" t="inlineStr">
        <is>
          <t>Extended Stay America, Inc.</t>
        </is>
      </c>
      <c r="E30" s="28" t="inlineStr">
        <is>
          <t>STAY</t>
        </is>
      </c>
      <c r="F30" s="29" t="inlineStr">
        <is>
          <t>NYSE/Nasdaq (inferred, not in current listing file)</t>
        </is>
      </c>
      <c r="G30" s="28" t="inlineStr">
        <is>
          <t>2014-11-17</t>
        </is>
      </c>
      <c r="H30" s="28" t="inlineStr">
        <is>
          <t>2014-11-14</t>
        </is>
      </c>
      <c r="I30" s="30" t="n">
        <v>26450</v>
      </c>
      <c r="J30" s="31" t="n">
        <v>18.3947</v>
      </c>
      <c r="K30" s="32" t="n">
        <v>486539.82</v>
      </c>
      <c r="L30" s="32">
        <f>I30*J30</f>
        <v>486539.815</v>
      </c>
      <c r="M30" s="28" t="str">
        <f>IF(ABS(K30-L30)&lt;0.01,"OK","MISMATCH")</f>
        <v>OK</v>
      </c>
      <c r="N30" s="28" t="inlineStr">
        <is>
          <t>Officer (See Remarks)</t>
        </is>
      </c>
      <c r="O30" s="33" t="n">
        <v>3764056985.94</v>
      </c>
      <c r="P30" s="28" t="str">
        <f>IF(AND(O30&gt;=200000000,O30&lt;=20000000000),"IN BAND","OUT")</f>
        <v>IN BAND</v>
      </c>
      <c r="Q30" s="28" t="inlineStr">
        <is>
          <t>7011</t>
        </is>
      </c>
      <c r="R30" s="34" t="inlineStr">
        <is>
          <t>https://www.sec.gov/Archives/edgar/data/1581164/000114036114042436/doc1.xml</t>
        </is>
      </c>
    </row>
    <row r="31">
      <c r="B31" s="28" t="n">
        <v>1228922</v>
      </c>
      <c r="C31" s="28" t="inlineStr">
        <is>
          <t>DONDERO JAMES D</t>
        </is>
      </c>
      <c r="D31" s="28" t="inlineStr">
        <is>
          <t>NexPoint Real Estate Finance, Inc.</t>
        </is>
      </c>
      <c r="E31" s="28" t="inlineStr">
        <is>
          <t>NREF</t>
        </is>
      </c>
      <c r="F31" s="28" t="inlineStr">
        <is>
          <t>NYSE</t>
        </is>
      </c>
      <c r="G31" s="28" t="inlineStr">
        <is>
          <t>2020-02-28</t>
        </is>
      </c>
      <c r="H31" s="28" t="inlineStr">
        <is>
          <t>2020-02-27</t>
        </is>
      </c>
      <c r="I31" s="30" t="n">
        <v>27044</v>
      </c>
      <c r="J31" s="31" t="n">
        <v>18.836</v>
      </c>
      <c r="K31" s="32" t="n">
        <v>509400.78</v>
      </c>
      <c r="L31" s="32">
        <f>I31*J31</f>
        <v>509400.784</v>
      </c>
      <c r="M31" s="28" t="str">
        <f>IF(ABS(K31-L31)&lt;0.01,"OK","MISMATCH")</f>
        <v>OK</v>
      </c>
      <c r="N31" s="28" t="inlineStr">
        <is>
          <t>Director; Officer (President)</t>
        </is>
      </c>
      <c r="O31" s="33" t="n">
        <v>355021474.24</v>
      </c>
      <c r="P31" s="28" t="str">
        <f>IF(AND(O31&gt;=200000000,O31&lt;=20000000000),"IN BAND","OUT")</f>
        <v>IN BAND</v>
      </c>
      <c r="Q31" s="28" t="inlineStr">
        <is>
          <t>6798</t>
        </is>
      </c>
      <c r="R31" s="34" t="inlineStr">
        <is>
          <t>https://www.sec.gov/Archives/edgar/data/1228922/000089924320006246/doc4.xml</t>
        </is>
      </c>
    </row>
    <row r="32">
      <c r="B32" s="28" t="n">
        <v>1200753</v>
      </c>
      <c r="C32" s="28" t="inlineStr">
        <is>
          <t>WILMOTT TIMOTHY J</t>
        </is>
      </c>
      <c r="D32" s="28" t="inlineStr">
        <is>
          <t>PENN NATIONAL GAMING INC</t>
        </is>
      </c>
      <c r="E32" s="28" t="inlineStr">
        <is>
          <t>PENN</t>
        </is>
      </c>
      <c r="F32" s="28" t="inlineStr">
        <is>
          <t>Nasdaq</t>
        </is>
      </c>
      <c r="G32" s="28" t="inlineStr">
        <is>
          <t>2014-05-08</t>
        </is>
      </c>
      <c r="H32" s="28" t="inlineStr">
        <is>
          <t>2014-05-07</t>
        </is>
      </c>
      <c r="I32" s="30" t="n">
        <v>50000</v>
      </c>
      <c r="J32" s="31" t="n">
        <v>10.74</v>
      </c>
      <c r="K32" s="32" t="n">
        <v>537000</v>
      </c>
      <c r="L32" s="32">
        <f>I32*J32</f>
        <v>537000.0</v>
      </c>
      <c r="M32" s="28" t="str">
        <f>IF(ABS(K32-L32)&lt;0.01,"OK","MISMATCH")</f>
        <v>OK</v>
      </c>
      <c r="N32" s="28" t="inlineStr">
        <is>
          <t>Officer (President &amp; CEO)</t>
        </is>
      </c>
      <c r="O32" s="33" t="n">
        <v>844100591.04</v>
      </c>
      <c r="P32" s="28" t="str">
        <f>IF(AND(O32&gt;=200000000,O32&lt;=20000000000),"IN BAND","OUT")</f>
        <v>IN BAND</v>
      </c>
      <c r="Q32" s="28" t="inlineStr">
        <is>
          <t>7011</t>
        </is>
      </c>
      <c r="R32" s="34" t="inlineStr">
        <is>
          <t>https://www.sec.gov/Archives/edgar/data/921738/000117911014007926/edgar.xml</t>
        </is>
      </c>
    </row>
    <row r="33">
      <c r="B33" s="28" t="n">
        <v>1524265</v>
      </c>
      <c r="C33" s="28" t="inlineStr">
        <is>
          <t>Frink Lloyd D</t>
        </is>
      </c>
      <c r="D33" s="28" t="inlineStr">
        <is>
          <t>GrubHub Inc.</t>
        </is>
      </c>
      <c r="E33" s="28" t="inlineStr">
        <is>
          <t>GRUB</t>
        </is>
      </c>
      <c r="F33" s="29" t="inlineStr">
        <is>
          <t>NYSE/Nasdaq (inferred, not in current listing file)</t>
        </is>
      </c>
      <c r="G33" s="28" t="inlineStr">
        <is>
          <t>2014-04-11</t>
        </is>
      </c>
      <c r="H33" s="28" t="inlineStr">
        <is>
          <t>2014-04-09</t>
        </is>
      </c>
      <c r="I33" s="30" t="n">
        <v>77000</v>
      </c>
      <c r="J33" s="31" t="n">
        <v>26</v>
      </c>
      <c r="K33" s="32" t="n">
        <v>2002000</v>
      </c>
      <c r="L33" s="32">
        <f>I33*J33</f>
        <v>2002000.0</v>
      </c>
      <c r="M33" s="28" t="str">
        <f>IF(ABS(K33-L33)&lt;0.01,"OK","MISMATCH")</f>
        <v>OK</v>
      </c>
      <c r="N33" s="28" t="inlineStr">
        <is>
          <t>Director</t>
        </is>
      </c>
      <c r="O33" s="33" t="n">
        <v>2427047298</v>
      </c>
      <c r="P33" s="28" t="str">
        <f>IF(AND(O33&gt;=200000000,O33&lt;=20000000000),"IN BAND","OUT")</f>
        <v>IN BAND</v>
      </c>
      <c r="Q33" s="28" t="inlineStr">
        <is>
          <t>7389</t>
        </is>
      </c>
      <c r="R33" s="34" t="inlineStr">
        <is>
          <t>https://www.sec.gov/Archives/edgar/data/1594109/000120919114027123/doc4.xml</t>
        </is>
      </c>
    </row>
    <row r="34">
      <c r="B34" s="28" t="n">
        <v>1626706</v>
      </c>
      <c r="C34" s="28" t="inlineStr">
        <is>
          <t>Schmitzer Richard</t>
        </is>
      </c>
      <c r="D34" s="28" t="inlineStr">
        <is>
          <t>James River Group Holdings, Ltd.</t>
        </is>
      </c>
      <c r="E34" s="28" t="inlineStr">
        <is>
          <t>JRVR</t>
        </is>
      </c>
      <c r="F34" s="28" t="inlineStr">
        <is>
          <t>Nasdaq</t>
        </is>
      </c>
      <c r="G34" s="28" t="inlineStr">
        <is>
          <t>2022-03-07</t>
        </is>
      </c>
      <c r="H34" s="28" t="inlineStr">
        <is>
          <t>2022-03-04</t>
        </is>
      </c>
      <c r="I34" s="30" t="n">
        <v>12450</v>
      </c>
      <c r="J34" s="31" t="n">
        <v>20.3115</v>
      </c>
      <c r="K34" s="32" t="n">
        <v>252878.17</v>
      </c>
      <c r="L34" s="32">
        <f>I34*J34</f>
        <v>252878.175</v>
      </c>
      <c r="M34" s="28" t="str">
        <f>IF(ABS(K34-L34)&lt;0.01,"OK","MISMATCH")</f>
        <v>OK</v>
      </c>
      <c r="N34" s="28" t="inlineStr">
        <is>
          <t>Officer (Pres. &amp; CEO - E&amp;S Lines Sgmt)</t>
        </is>
      </c>
      <c r="O34" s="33" t="n">
        <v>760631429.8099999</v>
      </c>
      <c r="P34" s="28" t="str">
        <f>IF(AND(O34&gt;=200000000,O34&lt;=20000000000),"IN BAND","OUT")</f>
        <v>IN BAND</v>
      </c>
      <c r="Q34" s="28" t="inlineStr">
        <is>
          <t>6331</t>
        </is>
      </c>
      <c r="R34" s="34" t="inlineStr">
        <is>
          <t>https://www.sec.gov/Archives/edgar/data/1626706/000162045922000057/wf-form4_164665341200884.xml</t>
        </is>
      </c>
    </row>
    <row r="35">
      <c r="B35" s="28" t="n">
        <v>1349214</v>
      </c>
      <c r="C35" s="28" t="inlineStr">
        <is>
          <t>Stevens Jeff A</t>
        </is>
      </c>
      <c r="D35" s="28" t="inlineStr">
        <is>
          <t>ANDEAVOR LOGISTICS LP</t>
        </is>
      </c>
      <c r="E35" s="28" t="inlineStr">
        <is>
          <t>ANDX</t>
        </is>
      </c>
      <c r="F35" s="29" t="inlineStr">
        <is>
          <t>NYSE/Nasdaq (inferred, not in current listing file)</t>
        </is>
      </c>
      <c r="G35" s="28" t="inlineStr">
        <is>
          <t>2018-08-28</t>
        </is>
      </c>
      <c r="H35" s="28" t="inlineStr">
        <is>
          <t>2018-08-24</t>
        </is>
      </c>
      <c r="I35" s="30" t="n">
        <v>14175</v>
      </c>
      <c r="J35" s="31" t="n">
        <v>50.2</v>
      </c>
      <c r="K35" s="32" t="n">
        <v>711585</v>
      </c>
      <c r="L35" s="32">
        <f>I35*J35</f>
        <v>711585.0</v>
      </c>
      <c r="M35" s="28" t="str">
        <f>IF(ABS(K35-L35)&lt;0.01,"OK","MISMATCH")</f>
        <v>OK</v>
      </c>
      <c r="N35" s="28" t="inlineStr">
        <is>
          <t>Director</t>
        </is>
      </c>
      <c r="O35" s="33" t="n">
        <v>10902887850.2</v>
      </c>
      <c r="P35" s="28" t="str">
        <f>IF(AND(O35&gt;=200000000,O35&lt;=20000000000),"IN BAND","OUT")</f>
        <v>IN BAND</v>
      </c>
      <c r="Q35" s="28" t="inlineStr">
        <is>
          <t>4610</t>
        </is>
      </c>
      <c r="R35" s="34" t="inlineStr">
        <is>
          <t>https://www.sec.gov/Archives/edgar/data/1349214/000150761518000067/wf-form4_153548839885986.xml</t>
        </is>
      </c>
    </row>
    <row r="36">
      <c r="B36" s="28" t="n">
        <v>1570945</v>
      </c>
      <c r="C36" s="28" t="inlineStr">
        <is>
          <t>Steeneck Craig D.</t>
        </is>
      </c>
      <c r="D36" s="28" t="inlineStr">
        <is>
          <t>Freshpet, Inc.</t>
        </is>
      </c>
      <c r="E36" s="28" t="inlineStr">
        <is>
          <t>FRPT</t>
        </is>
      </c>
      <c r="F36" s="28" t="inlineStr">
        <is>
          <t>Nasdaq</t>
        </is>
      </c>
      <c r="G36" s="28" t="inlineStr">
        <is>
          <t>2020-02-28</t>
        </is>
      </c>
      <c r="H36" s="28" t="inlineStr">
        <is>
          <t>2020-02-26</t>
        </is>
      </c>
      <c r="I36" s="30" t="n">
        <v>7500</v>
      </c>
      <c r="J36" s="31" t="n">
        <v>66</v>
      </c>
      <c r="K36" s="32" t="n">
        <v>495000</v>
      </c>
      <c r="L36" s="32">
        <f>I36*J36</f>
        <v>495000.0</v>
      </c>
      <c r="M36" s="28" t="str">
        <f>IF(ABS(K36-L36)&lt;0.01,"OK","MISMATCH")</f>
        <v>OK</v>
      </c>
      <c r="N36" s="28" t="inlineStr">
        <is>
          <t>Director</t>
        </is>
      </c>
      <c r="O36" s="33" t="n">
        <v>2386910790</v>
      </c>
      <c r="P36" s="28" t="str">
        <f>IF(AND(O36&gt;=200000000,O36&lt;=20000000000),"IN BAND","OUT")</f>
        <v>IN BAND</v>
      </c>
      <c r="Q36" s="28" t="inlineStr">
        <is>
          <t>2040</t>
        </is>
      </c>
      <c r="R36" s="34" t="inlineStr">
        <is>
          <t>https://www.sec.gov/Archives/edgar/data/1570945/000089924320006231/doc4.xml</t>
        </is>
      </c>
    </row>
    <row r="37">
      <c r="B37" s="28" t="n">
        <v>1562371</v>
      </c>
      <c r="C37" s="28" t="inlineStr">
        <is>
          <t>Barry Richard</t>
        </is>
      </c>
      <c r="D37" s="28" t="inlineStr">
        <is>
          <t>Sarepta Therapeutics, Inc.</t>
        </is>
      </c>
      <c r="E37" s="28" t="inlineStr">
        <is>
          <t>SRPT</t>
        </is>
      </c>
      <c r="F37" s="28" t="inlineStr">
        <is>
          <t>Nasdaq</t>
        </is>
      </c>
      <c r="G37" s="28" t="inlineStr">
        <is>
          <t>2019-09-16</t>
        </is>
      </c>
      <c r="H37" s="28" t="inlineStr">
        <is>
          <t>2019-09-13</t>
        </is>
      </c>
      <c r="I37" s="30" t="n">
        <v>3309</v>
      </c>
      <c r="J37" s="31" t="n">
        <v>87.48999999999999</v>
      </c>
      <c r="K37" s="32" t="n">
        <v>289504.41</v>
      </c>
      <c r="L37" s="32">
        <f>I37*J37</f>
        <v>289504.41</v>
      </c>
      <c r="M37" s="28" t="str">
        <f>IF(ABS(K37-L37)&lt;0.01,"OK","MISMATCH")</f>
        <v>OK</v>
      </c>
      <c r="N37" s="28" t="inlineStr">
        <is>
          <t>Director</t>
        </is>
      </c>
      <c r="O37" s="33" t="n">
        <v>6504043083.33</v>
      </c>
      <c r="P37" s="28" t="str">
        <f>IF(AND(O37&gt;=200000000,O37&lt;=20000000000),"IN BAND","OUT")</f>
        <v>IN BAND</v>
      </c>
      <c r="Q37" s="28" t="inlineStr">
        <is>
          <t>2834</t>
        </is>
      </c>
      <c r="R37" s="34" t="inlineStr">
        <is>
          <t>https://www.sec.gov/Archives/edgar/data/1562371/000120919119049553/doc4.xml</t>
        </is>
      </c>
    </row>
    <row r="38">
      <c r="B38" s="28" t="n">
        <v>1056831</v>
      </c>
      <c r="C38" s="28" t="inlineStr">
        <is>
          <t>FAIRHOLME CAPITAL MANAGEMENT LLC</t>
        </is>
      </c>
      <c r="D38" s="28" t="inlineStr">
        <is>
          <t>SEARS HOLDINGS CORP</t>
        </is>
      </c>
      <c r="E38" s="28" t="inlineStr">
        <is>
          <t>SHLD</t>
        </is>
      </c>
      <c r="F38" s="29" t="inlineStr">
        <is>
          <t>NYSE/Nasdaq (inferred, not in current listing file)</t>
        </is>
      </c>
      <c r="G38" s="28" t="inlineStr">
        <is>
          <t>2016-03-17</t>
        </is>
      </c>
      <c r="H38" s="28" t="inlineStr">
        <is>
          <t>2016-03-15</t>
        </is>
      </c>
      <c r="I38" s="30" t="n">
        <v>50000</v>
      </c>
      <c r="J38" s="31" t="n">
        <v>15.91</v>
      </c>
      <c r="K38" s="32" t="n">
        <v>795500</v>
      </c>
      <c r="L38" s="32">
        <f>I38*J38</f>
        <v>795500.0</v>
      </c>
      <c r="M38" s="28" t="str">
        <f>IF(ABS(K38-L38)&lt;0.01,"OK","MISMATCH")</f>
        <v>OK</v>
      </c>
      <c r="N38" s="28" t="inlineStr">
        <is>
          <t>Director</t>
        </is>
      </c>
      <c r="O38" s="33" t="n">
        <v>1698677320.82</v>
      </c>
      <c r="P38" s="28" t="str">
        <f>IF(AND(O38&gt;=200000000,O38&lt;=20000000000),"IN BAND","OUT")</f>
        <v>IN BAND</v>
      </c>
      <c r="Q38" s="28" t="inlineStr">
        <is>
          <t>5311</t>
        </is>
      </c>
      <c r="R38" s="34" t="inlineStr">
        <is>
          <t>https://www.sec.gov/Archives/edgar/data/1310067/000091957416011952/p7084799.xml</t>
        </is>
      </c>
    </row>
    <row r="39">
      <c r="B39" s="28" t="n">
        <v>942439</v>
      </c>
      <c r="C39" s="28" t="inlineStr">
        <is>
          <t>PENSKE ROGER S</t>
        </is>
      </c>
      <c r="D39" s="28" t="inlineStr">
        <is>
          <t>PENSKE AUTOMOTIVE GROUP, INC.</t>
        </is>
      </c>
      <c r="E39" s="28" t="inlineStr">
        <is>
          <t>PAG</t>
        </is>
      </c>
      <c r="F39" s="28" t="inlineStr">
        <is>
          <t>NYSE</t>
        </is>
      </c>
      <c r="G39" s="28" t="inlineStr">
        <is>
          <t>2017-10-23</t>
        </is>
      </c>
      <c r="H39" s="28" t="inlineStr">
        <is>
          <t>2017-10-20</t>
        </is>
      </c>
      <c r="I39" s="30" t="n">
        <v>1103996</v>
      </c>
      <c r="J39" s="31" t="n">
        <v>45.29</v>
      </c>
      <c r="K39" s="32" t="n">
        <v>49999978.84</v>
      </c>
      <c r="L39" s="32">
        <f>I39*J39</f>
        <v>49999978.839999996</v>
      </c>
      <c r="M39" s="28" t="str">
        <f>IF(ABS(K39-L39)&lt;0.01,"OK","MISMATCH")</f>
        <v>OK</v>
      </c>
      <c r="N39" s="28" t="inlineStr">
        <is>
          <t>Director; Officer (Chairman &amp; CEO)</t>
        </is>
      </c>
      <c r="O39" s="33" t="n">
        <v>3884438154.8</v>
      </c>
      <c r="P39" s="28" t="str">
        <f>IF(AND(O39&gt;=200000000,O39&lt;=20000000000),"IN BAND","OUT")</f>
        <v>IN BAND</v>
      </c>
      <c r="Q39" s="28" t="inlineStr">
        <is>
          <t>5500</t>
        </is>
      </c>
      <c r="R39" s="34" t="inlineStr">
        <is>
          <t>https://www.sec.gov/Archives/edgar/data/942439/000120919117057755/doc4.xml</t>
        </is>
      </c>
    </row>
    <row r="40">
      <c r="B40" s="28" t="n">
        <v>1576312</v>
      </c>
      <c r="C40" s="28" t="inlineStr">
        <is>
          <t>deVeer R. Kipp</t>
        </is>
      </c>
      <c r="D40" s="28" t="inlineStr">
        <is>
          <t>ARES CAPITAL CORP</t>
        </is>
      </c>
      <c r="E40" s="28" t="inlineStr">
        <is>
          <t>ARCC</t>
        </is>
      </c>
      <c r="F40" s="28" t="inlineStr">
        <is>
          <t>Nasdaq</t>
        </is>
      </c>
      <c r="G40" s="28" t="inlineStr">
        <is>
          <t>2020-10-30</t>
        </is>
      </c>
      <c r="H40" s="28" t="inlineStr">
        <is>
          <t>2020-10-28</t>
        </is>
      </c>
      <c r="I40" s="30" t="n">
        <v>75000</v>
      </c>
      <c r="J40" s="31" t="n">
        <v>13.98</v>
      </c>
      <c r="K40" s="32" t="n">
        <v>1048500</v>
      </c>
      <c r="L40" s="32">
        <f>I40*J40</f>
        <v>1048500.0</v>
      </c>
      <c r="M40" s="28" t="str">
        <f>IF(ABS(K40-L40)&lt;0.01,"OK","MISMATCH")</f>
        <v>OK</v>
      </c>
      <c r="N40" s="28" t="inlineStr">
        <is>
          <t>Director; Officer (Chief Executive Officer)</t>
        </is>
      </c>
      <c r="O40" s="33" t="n">
        <v>10037959373.1</v>
      </c>
      <c r="P40" s="28" t="str">
        <f>IF(AND(O40&gt;=200000000,O40&lt;=20000000000),"IN BAND","OUT")</f>
        <v>IN BAND</v>
      </c>
      <c r="Q40" s="28" t="inlineStr"/>
      <c r="R40" s="34" t="inlineStr">
        <is>
          <t>https://www.sec.gov/Archives/edgar/data/1576312/000110465920120149/a4.xml</t>
        </is>
      </c>
    </row>
    <row r="41">
      <c r="B41" s="28" t="n">
        <v>939713</v>
      </c>
      <c r="C41" s="28" t="inlineStr">
        <is>
          <t>TUCHMAN MARTIN</t>
        </is>
      </c>
      <c r="D41" s="28" t="inlineStr">
        <is>
          <t>Fortress Transportation &amp; Infrastructure Investors LLC</t>
        </is>
      </c>
      <c r="E41" s="28" t="inlineStr">
        <is>
          <t>FTAI</t>
        </is>
      </c>
      <c r="F41" s="28" t="inlineStr">
        <is>
          <t>Nasdaq</t>
        </is>
      </c>
      <c r="G41" s="28" t="inlineStr">
        <is>
          <t>2019-09-16</t>
        </is>
      </c>
      <c r="H41" s="28" t="inlineStr">
        <is>
          <t>2019-09-12</t>
        </is>
      </c>
      <c r="I41" s="30" t="n">
        <v>10000</v>
      </c>
      <c r="J41" s="31" t="n">
        <v>25.86</v>
      </c>
      <c r="K41" s="32" t="n">
        <v>258600</v>
      </c>
      <c r="L41" s="32">
        <f>I41*J41</f>
        <v>258600.0</v>
      </c>
      <c r="M41" s="28" t="str">
        <f>IF(ABS(K41-L41)&lt;0.01,"OK","MISMATCH")</f>
        <v>OK</v>
      </c>
      <c r="N41" s="28" t="inlineStr">
        <is>
          <t>Director</t>
        </is>
      </c>
      <c r="O41" s="33" t="n">
        <v>2195595148.68</v>
      </c>
      <c r="P41" s="28" t="str">
        <f>IF(AND(O41&gt;=200000000,O41&lt;=20000000000),"IN BAND","OUT")</f>
        <v>IN BAND</v>
      </c>
      <c r="Q41" s="28" t="inlineStr">
        <is>
          <t>7350</t>
        </is>
      </c>
      <c r="R41" s="34" t="inlineStr">
        <is>
          <t>https://www.sec.gov/Archives/edgar/data/939713/000120919119049554/doc4.xml</t>
        </is>
      </c>
    </row>
    <row r="42">
      <c r="B42" s="28" t="n">
        <v>1558592</v>
      </c>
      <c r="C42" s="28" t="inlineStr">
        <is>
          <t>Kraft Robert O.</t>
        </is>
      </c>
      <c r="D42" s="28" t="inlineStr">
        <is>
          <t>Hillman Solutions Corp.</t>
        </is>
      </c>
      <c r="E42" s="28" t="inlineStr">
        <is>
          <t>HLMN</t>
        </is>
      </c>
      <c r="F42" s="28" t="inlineStr">
        <is>
          <t>Nasdaq</t>
        </is>
      </c>
      <c r="G42" s="28" t="inlineStr">
        <is>
          <t>2022-03-07</t>
        </is>
      </c>
      <c r="H42" s="28" t="inlineStr">
        <is>
          <t>2022-03-07</t>
        </is>
      </c>
      <c r="I42" s="30" t="n">
        <v>47500</v>
      </c>
      <c r="J42" s="31" t="n">
        <v>10.353</v>
      </c>
      <c r="K42" s="32" t="n">
        <v>491767.5</v>
      </c>
      <c r="L42" s="32">
        <f>I42*J42</f>
        <v>491767.5</v>
      </c>
      <c r="M42" s="28" t="str">
        <f>IF(ABS(K42-L42)&lt;0.01,"OK","MISMATCH")</f>
        <v>OK</v>
      </c>
      <c r="N42" s="28" t="inlineStr">
        <is>
          <t>Officer (CFO and Treasurer)</t>
        </is>
      </c>
      <c r="O42" s="33" t="n">
        <v>1941907147.38</v>
      </c>
      <c r="P42" s="28" t="str">
        <f>IF(AND(O42&gt;=200000000,O42&lt;=20000000000),"IN BAND","OUT")</f>
        <v>IN BAND</v>
      </c>
      <c r="Q42" s="28" t="inlineStr">
        <is>
          <t>3420</t>
        </is>
      </c>
      <c r="R42" s="34" t="inlineStr">
        <is>
          <t>https://www.sec.gov/Archives/edgar/data/1558592/000182249222000022/wf-form4_164667748616049.xml</t>
        </is>
      </c>
    </row>
    <row r="43">
      <c r="B43" s="28" t="n">
        <v>1606074</v>
      </c>
      <c r="C43" s="28" t="inlineStr">
        <is>
          <t>Svennilson Peter</t>
        </is>
      </c>
      <c r="D43" s="28" t="inlineStr">
        <is>
          <t>NGM BIOPHARMACEUTICALS INC</t>
        </is>
      </c>
      <c r="E43" s="28" t="inlineStr">
        <is>
          <t>NGM</t>
        </is>
      </c>
      <c r="F43" s="29" t="inlineStr">
        <is>
          <t>NYSE/Nasdaq (inferred, not in current listing file)</t>
        </is>
      </c>
      <c r="G43" s="28" t="inlineStr">
        <is>
          <t>2020-02-28</t>
        </is>
      </c>
      <c r="H43" s="28" t="inlineStr">
        <is>
          <t>2020-02-27</t>
        </is>
      </c>
      <c r="I43" s="30" t="n">
        <v>33896</v>
      </c>
      <c r="J43" s="31" t="n">
        <v>17.91</v>
      </c>
      <c r="K43" s="32" t="n">
        <v>607077.36</v>
      </c>
      <c r="L43" s="32">
        <f>I43*J43</f>
        <v>607077.36</v>
      </c>
      <c r="M43" s="28" t="str">
        <f>IF(ABS(K43-L43)&lt;0.01,"OK","MISMATCH")</f>
        <v>OK</v>
      </c>
      <c r="N43" s="28" t="inlineStr">
        <is>
          <t>Director</t>
        </is>
      </c>
      <c r="O43" s="33" t="n">
        <v>1193783688.99</v>
      </c>
      <c r="P43" s="28" t="str">
        <f>IF(AND(O43&gt;=200000000,O43&lt;=20000000000),"IN BAND","OUT")</f>
        <v>IN BAND</v>
      </c>
      <c r="Q43" s="28" t="inlineStr">
        <is>
          <t>2834</t>
        </is>
      </c>
      <c r="R43" s="34" t="inlineStr">
        <is>
          <t>https://www.sec.gov/Archives/edgar/data/1606074/000120919120014194/doc4.xml</t>
        </is>
      </c>
    </row>
    <row r="44">
      <c r="B44" s="28" t="n">
        <v>1284591</v>
      </c>
      <c r="C44" s="28" t="inlineStr">
        <is>
          <t>HORNBECK TODD M</t>
        </is>
      </c>
      <c r="D44" s="28" t="inlineStr">
        <is>
          <t>HORNBECK OFFSHORE SERVICES INC /LA</t>
        </is>
      </c>
      <c r="E44" s="28" t="inlineStr">
        <is>
          <t>HOS</t>
        </is>
      </c>
      <c r="F44" s="29" t="inlineStr">
        <is>
          <t>NYSE/Nasdaq (inferred, not in current listing file)</t>
        </is>
      </c>
      <c r="G44" s="28" t="inlineStr">
        <is>
          <t>2014-05-08</t>
        </is>
      </c>
      <c r="H44" s="28" t="inlineStr">
        <is>
          <t>2014-05-07</t>
        </is>
      </c>
      <c r="I44" s="30" t="n">
        <v>30000</v>
      </c>
      <c r="J44" s="31" t="n">
        <v>38.65</v>
      </c>
      <c r="K44" s="32" t="n">
        <v>1159500</v>
      </c>
      <c r="L44" s="32">
        <f>I44*J44</f>
        <v>1159500.0</v>
      </c>
      <c r="M44" s="28" t="str">
        <f>IF(ABS(K44-L44)&lt;0.01,"OK","MISMATCH")</f>
        <v>OK</v>
      </c>
      <c r="N44" s="28" t="inlineStr">
        <is>
          <t>Director; Officer (President &amp; CEO)</t>
        </is>
      </c>
      <c r="O44" s="33" t="n">
        <v>1401143742.3</v>
      </c>
      <c r="P44" s="28" t="str">
        <f>IF(AND(O44&gt;=200000000,O44&lt;=20000000000),"IN BAND","OUT")</f>
        <v>IN BAND</v>
      </c>
      <c r="Q44" s="28" t="inlineStr">
        <is>
          <t>4400</t>
        </is>
      </c>
      <c r="R44" s="34" t="inlineStr">
        <is>
          <t>https://www.sec.gov/Archives/edgar/data/1131227/000118143114018488/rrd408851.xml</t>
        </is>
      </c>
    </row>
    <row r="45">
      <c r="B45" s="28" t="n">
        <v>1798288</v>
      </c>
      <c r="C45" s="28" t="inlineStr">
        <is>
          <t>Pomerantz Heather</t>
        </is>
      </c>
      <c r="D45" s="28" t="inlineStr">
        <is>
          <t>Freshpet, Inc.</t>
        </is>
      </c>
      <c r="E45" s="28" t="inlineStr">
        <is>
          <t>FRPT</t>
        </is>
      </c>
      <c r="F45" s="28" t="inlineStr">
        <is>
          <t>Nasdaq</t>
        </is>
      </c>
      <c r="G45" s="28" t="inlineStr">
        <is>
          <t>2020-02-28</t>
        </is>
      </c>
      <c r="H45" s="28" t="inlineStr">
        <is>
          <t>2020-02-26</t>
        </is>
      </c>
      <c r="I45" s="30" t="n">
        <v>6000</v>
      </c>
      <c r="J45" s="31" t="n">
        <v>66</v>
      </c>
      <c r="K45" s="32" t="n">
        <v>396000</v>
      </c>
      <c r="L45" s="32">
        <f>I45*J45</f>
        <v>396000.0</v>
      </c>
      <c r="M45" s="28" t="str">
        <f>IF(ABS(K45-L45)&lt;0.01,"OK","MISMATCH")</f>
        <v>OK</v>
      </c>
      <c r="N45" s="28" t="inlineStr">
        <is>
          <t>Officer (EVP of Finance)</t>
        </is>
      </c>
      <c r="O45" s="33" t="n">
        <v>2386910790</v>
      </c>
      <c r="P45" s="28" t="str">
        <f>IF(AND(O45&gt;=200000000,O45&lt;=20000000000),"IN BAND","OUT")</f>
        <v>IN BAND</v>
      </c>
      <c r="Q45" s="28" t="inlineStr">
        <is>
          <t>2040</t>
        </is>
      </c>
      <c r="R45" s="34" t="inlineStr">
        <is>
          <t>https://www.sec.gov/Archives/edgar/data/1798288/000089924320006232/doc4.xml</t>
        </is>
      </c>
    </row>
    <row r="46">
      <c r="B46" s="28" t="n">
        <v>1221359</v>
      </c>
      <c r="C46" s="28" t="inlineStr">
        <is>
          <t>RADY ERNEST S</t>
        </is>
      </c>
      <c r="D46" s="28" t="inlineStr">
        <is>
          <t>American Assets Trust, Inc.</t>
        </is>
      </c>
      <c r="E46" s="28" t="inlineStr">
        <is>
          <t>AAT</t>
        </is>
      </c>
      <c r="F46" s="28" t="inlineStr">
        <is>
          <t>NYSE</t>
        </is>
      </c>
      <c r="G46" s="28" t="inlineStr">
        <is>
          <t>2020-02-28</t>
        </is>
      </c>
      <c r="H46" s="28" t="inlineStr">
        <is>
          <t>2020-02-26</t>
        </is>
      </c>
      <c r="I46" s="30" t="n">
        <v>12085</v>
      </c>
      <c r="J46" s="31" t="n">
        <v>43.94</v>
      </c>
      <c r="K46" s="32" t="n">
        <v>531014.9</v>
      </c>
      <c r="L46" s="32">
        <f>I46*J46</f>
        <v>531014.9</v>
      </c>
      <c r="M46" s="28" t="str">
        <f>IF(ABS(K46-L46)&lt;0.01,"OK","MISMATCH")</f>
        <v>OK</v>
      </c>
      <c r="N46" s="28" t="inlineStr">
        <is>
          <t>Director; Officer (Chairman, CEO &amp; President)</t>
        </is>
      </c>
      <c r="O46" s="33" t="n">
        <v>2639397938.32</v>
      </c>
      <c r="P46" s="28" t="str">
        <f>IF(AND(O46&gt;=200000000,O46&lt;=20000000000),"IN BAND","OUT")</f>
        <v>IN BAND</v>
      </c>
      <c r="Q46" s="28" t="inlineStr">
        <is>
          <t>6798</t>
        </is>
      </c>
      <c r="R46" s="34" t="inlineStr">
        <is>
          <t>https://www.sec.gov/Archives/edgar/data/1221359/000150021720000012/wf-form4_158292519270526.xml</t>
        </is>
      </c>
    </row>
    <row r="47">
      <c r="B47" s="28" t="n">
        <v>1396395</v>
      </c>
      <c r="C47" s="28" t="inlineStr">
        <is>
          <t>Copeland David W</t>
        </is>
      </c>
      <c r="D47" s="28" t="inlineStr">
        <is>
          <t>SM Energy Co</t>
        </is>
      </c>
      <c r="E47" s="28" t="inlineStr">
        <is>
          <t>SM</t>
        </is>
      </c>
      <c r="F47" s="28" t="inlineStr">
        <is>
          <t>NYSE</t>
        </is>
      </c>
      <c r="G47" s="28" t="inlineStr">
        <is>
          <t>2014-11-17</t>
        </is>
      </c>
      <c r="H47" s="28" t="inlineStr">
        <is>
          <t>2014-11-14</t>
        </is>
      </c>
      <c r="I47" s="30" t="n">
        <v>5000</v>
      </c>
      <c r="J47" s="31" t="n">
        <v>51.537</v>
      </c>
      <c r="K47" s="32" t="n">
        <v>257685</v>
      </c>
      <c r="L47" s="32">
        <f>I47*J47</f>
        <v>257685.0</v>
      </c>
      <c r="M47" s="28" t="str">
        <f>IF(ABS(K47-L47)&lt;0.01,"OK","MISMATCH")</f>
        <v>OK</v>
      </c>
      <c r="N47" s="28" t="inlineStr">
        <is>
          <t>Officer (EVP, GC &amp; Corp. Sec.)</t>
        </is>
      </c>
      <c r="O47" s="33" t="n">
        <v>3473872151.34</v>
      </c>
      <c r="P47" s="28" t="str">
        <f>IF(AND(O47&gt;=200000000,O47&lt;=20000000000),"IN BAND","OUT")</f>
        <v>IN BAND</v>
      </c>
      <c r="Q47" s="28" t="inlineStr">
        <is>
          <t>1311</t>
        </is>
      </c>
      <c r="R47" s="34" t="inlineStr">
        <is>
          <t>https://www.sec.gov/Archives/edgar/data/893538/000089353814000095/wf-form4_141625875828848.xml</t>
        </is>
      </c>
    </row>
    <row r="48">
      <c r="B48" s="28" t="n">
        <v>1636204</v>
      </c>
      <c r="C48" s="28" t="inlineStr">
        <is>
          <t>Goetz Matthew</t>
        </is>
      </c>
      <c r="D48" s="28" t="inlineStr">
        <is>
          <t>NexPoint Real Estate Finance, Inc.</t>
        </is>
      </c>
      <c r="E48" s="28" t="inlineStr">
        <is>
          <t>NREF</t>
        </is>
      </c>
      <c r="F48" s="28" t="inlineStr">
        <is>
          <t>NYSE</t>
        </is>
      </c>
      <c r="G48" s="28" t="inlineStr">
        <is>
          <t>2020-02-28</t>
        </is>
      </c>
      <c r="H48" s="28" t="inlineStr">
        <is>
          <t>2020-02-27</t>
        </is>
      </c>
      <c r="I48" s="30" t="n">
        <v>27044</v>
      </c>
      <c r="J48" s="31" t="n">
        <v>18.836</v>
      </c>
      <c r="K48" s="32" t="n">
        <v>509400.78</v>
      </c>
      <c r="L48" s="32">
        <f>I48*J48</f>
        <v>509400.784</v>
      </c>
      <c r="M48" s="28" t="str">
        <f>IF(ABS(K48-L48)&lt;0.01,"OK","MISMATCH")</f>
        <v>OK</v>
      </c>
      <c r="N48" s="28" t="inlineStr">
        <is>
          <t>Officer (See Remarks)</t>
        </is>
      </c>
      <c r="O48" s="33" t="n">
        <v>355021474.24</v>
      </c>
      <c r="P48" s="28" t="str">
        <f>IF(AND(O48&gt;=200000000,O48&lt;=20000000000),"IN BAND","OUT")</f>
        <v>IN BAND</v>
      </c>
      <c r="Q48" s="28" t="inlineStr">
        <is>
          <t>6798</t>
        </is>
      </c>
      <c r="R48" s="34" t="inlineStr">
        <is>
          <t>https://www.sec.gov/Archives/edgar/data/1636204/000089924320006248/doc4.xml</t>
        </is>
      </c>
    </row>
    <row r="49">
      <c r="B49" s="28" t="n">
        <v>1466605</v>
      </c>
      <c r="C49" s="28" t="inlineStr">
        <is>
          <t>LIVEK WILLIAM PAUL</t>
        </is>
      </c>
      <c r="D49" s="28" t="inlineStr">
        <is>
          <t>COMSCORE, INC.</t>
        </is>
      </c>
      <c r="E49" s="28" t="inlineStr">
        <is>
          <t>SCOR</t>
        </is>
      </c>
      <c r="F49" s="28" t="inlineStr">
        <is>
          <t>Nasdaq</t>
        </is>
      </c>
      <c r="G49" s="28" t="inlineStr">
        <is>
          <t>2022-03-07</t>
        </is>
      </c>
      <c r="H49" s="28" t="inlineStr">
        <is>
          <t>2022-03-07</t>
        </is>
      </c>
      <c r="I49" s="30" t="n">
        <v>200000</v>
      </c>
      <c r="J49" s="31" t="n">
        <v>2.67</v>
      </c>
      <c r="K49" s="32" t="n">
        <v>534000</v>
      </c>
      <c r="L49" s="32">
        <f>I49*J49</f>
        <v>534000.0</v>
      </c>
      <c r="M49" s="28" t="str">
        <f>IF(ABS(K49-L49)&lt;0.01,"OK","MISMATCH")</f>
        <v>OK</v>
      </c>
      <c r="N49" s="28" t="inlineStr">
        <is>
          <t>Director; Officer (See Remarks)</t>
        </is>
      </c>
      <c r="O49" s="33" t="n">
        <v>241471035.3</v>
      </c>
      <c r="P49" s="28" t="str">
        <f>IF(AND(O49&gt;=200000000,O49&lt;=20000000000),"IN BAND","OUT")</f>
        <v>IN BAND</v>
      </c>
      <c r="Q49" s="28" t="inlineStr">
        <is>
          <t>7389</t>
        </is>
      </c>
      <c r="R49" s="34" t="inlineStr">
        <is>
          <t>https://www.sec.gov/Archives/edgar/data/1466605/000115817222000015/wf-form4_164668987831148.xml</t>
        </is>
      </c>
    </row>
    <row r="50">
      <c r="B50" s="28" t="n">
        <v>1221359</v>
      </c>
      <c r="C50" s="28" t="inlineStr">
        <is>
          <t>RADY ERNEST S</t>
        </is>
      </c>
      <c r="D50" s="28" t="inlineStr">
        <is>
          <t>American Assets Trust, Inc.</t>
        </is>
      </c>
      <c r="E50" s="28" t="inlineStr">
        <is>
          <t>AAT</t>
        </is>
      </c>
      <c r="F50" s="28" t="inlineStr">
        <is>
          <t>NYSE</t>
        </is>
      </c>
      <c r="G50" s="28" t="inlineStr">
        <is>
          <t>2020-02-28</t>
        </is>
      </c>
      <c r="H50" s="28" t="inlineStr">
        <is>
          <t>2020-02-28</t>
        </is>
      </c>
      <c r="I50" s="30" t="n">
        <v>8313</v>
      </c>
      <c r="J50" s="31" t="n">
        <v>40.97</v>
      </c>
      <c r="K50" s="32" t="n">
        <v>340583.61</v>
      </c>
      <c r="L50" s="32">
        <f>I50*J50</f>
        <v>340583.61</v>
      </c>
      <c r="M50" s="28" t="str">
        <f>IF(ABS(K50-L50)&lt;0.01,"OK","MISMATCH")</f>
        <v>OK</v>
      </c>
      <c r="N50" s="28" t="inlineStr">
        <is>
          <t>Director; Officer (Chairman, CEO &amp; President)</t>
        </is>
      </c>
      <c r="O50" s="33" t="n">
        <v>2460995301.16</v>
      </c>
      <c r="P50" s="28" t="str">
        <f>IF(AND(O50&gt;=200000000,O50&lt;=20000000000),"IN BAND","OUT")</f>
        <v>IN BAND</v>
      </c>
      <c r="Q50" s="28" t="inlineStr">
        <is>
          <t>6798</t>
        </is>
      </c>
      <c r="R50" s="34" t="inlineStr">
        <is>
          <t>https://www.sec.gov/Archives/edgar/data/1221359/000150021720000012/wf-form4_158292519270526.xml</t>
        </is>
      </c>
    </row>
    <row r="51">
      <c r="B51" s="28" t="n">
        <v>1450714</v>
      </c>
      <c r="C51" s="28" t="inlineStr">
        <is>
          <t>Jacobowitz Jeffrey</t>
        </is>
      </c>
      <c r="D51" s="28" t="inlineStr">
        <is>
          <t>Donnelley Financial Solutions, Inc.</t>
        </is>
      </c>
      <c r="E51" s="28" t="inlineStr">
        <is>
          <t>DFIN</t>
        </is>
      </c>
      <c r="F51" s="28" t="inlineStr">
        <is>
          <t>NYSE</t>
        </is>
      </c>
      <c r="G51" s="28" t="inlineStr">
        <is>
          <t>2019-12-02</t>
        </is>
      </c>
      <c r="H51" s="28" t="inlineStr">
        <is>
          <t>2019-11-27</t>
        </is>
      </c>
      <c r="I51" s="30" t="n">
        <v>284300</v>
      </c>
      <c r="J51" s="31" t="n">
        <v>9.933199999999999</v>
      </c>
      <c r="K51" s="32" t="n">
        <v>2824008.76</v>
      </c>
      <c r="L51" s="32">
        <f>I51*J51</f>
        <v>2824008.76</v>
      </c>
      <c r="M51" s="28" t="str">
        <f>IF(ABS(K51-L51)&lt;0.01,"OK","MISMATCH")</f>
        <v>OK</v>
      </c>
      <c r="N51" s="28" t="inlineStr">
        <is>
          <t>Director</t>
        </is>
      </c>
      <c r="O51" s="33" t="n">
        <v>340708760</v>
      </c>
      <c r="P51" s="28" t="str">
        <f>IF(AND(O51&gt;=200000000,O51&lt;=20000000000),"IN BAND","OUT")</f>
        <v>IN BAND</v>
      </c>
      <c r="Q51" s="28" t="inlineStr">
        <is>
          <t>7380</t>
        </is>
      </c>
      <c r="R51" s="34" t="inlineStr">
        <is>
          <t>https://www.sec.gov/Archives/edgar/data/1450714/000120919119058527/doc4.xml</t>
        </is>
      </c>
    </row>
    <row r="53">
      <c r="B53" s="35" t="inlineStr">
        <is>
          <t>Value (CSV) is the pipeline-recorded transaction value; Value (shares × price) recomputes it live in this workbook. "Exchange (as recorded)" cells shaded gold were not in SEC's current ticker/exchange file (issuer delisted since filing) — exchange was inferred from the filing's SEC Exchange Act file-number prefix instead. Price/share is the insider's own reported execution price, used as the filing-date price proxy for market cap (no independent market-data API was reachable — see Methodology).</t>
        </is>
      </c>
    </row>
    <row r="54"/>
  </sheetData>
  <mergeCells count="1">
    <mergeCell ref="B53:F54"/>
  </mergeCells>
  <hyperlinks>
    <hyperlink xmlns:r="http://schemas.openxmlformats.org/officeDocument/2006/relationships" ref="R2" r:id="rId1"/>
    <hyperlink xmlns:r="http://schemas.openxmlformats.org/officeDocument/2006/relationships" ref="R3" r:id="rId2"/>
    <hyperlink xmlns:r="http://schemas.openxmlformats.org/officeDocument/2006/relationships" ref="R4" r:id="rId3"/>
    <hyperlink xmlns:r="http://schemas.openxmlformats.org/officeDocument/2006/relationships" ref="R5" r:id="rId4"/>
    <hyperlink xmlns:r="http://schemas.openxmlformats.org/officeDocument/2006/relationships" ref="R6" r:id="rId5"/>
    <hyperlink xmlns:r="http://schemas.openxmlformats.org/officeDocument/2006/relationships" ref="R7" r:id="rId6"/>
    <hyperlink xmlns:r="http://schemas.openxmlformats.org/officeDocument/2006/relationships" ref="R8" r:id="rId7"/>
    <hyperlink xmlns:r="http://schemas.openxmlformats.org/officeDocument/2006/relationships" ref="R9" r:id="rId8"/>
    <hyperlink xmlns:r="http://schemas.openxmlformats.org/officeDocument/2006/relationships" ref="R10" r:id="rId9"/>
    <hyperlink xmlns:r="http://schemas.openxmlformats.org/officeDocument/2006/relationships" ref="R11" r:id="rId10"/>
    <hyperlink xmlns:r="http://schemas.openxmlformats.org/officeDocument/2006/relationships" ref="R12" r:id="rId11"/>
    <hyperlink xmlns:r="http://schemas.openxmlformats.org/officeDocument/2006/relationships" ref="R13" r:id="rId12"/>
    <hyperlink xmlns:r="http://schemas.openxmlformats.org/officeDocument/2006/relationships" ref="R14" r:id="rId13"/>
    <hyperlink xmlns:r="http://schemas.openxmlformats.org/officeDocument/2006/relationships" ref="R15" r:id="rId14"/>
    <hyperlink xmlns:r="http://schemas.openxmlformats.org/officeDocument/2006/relationships" ref="R16" r:id="rId15"/>
    <hyperlink xmlns:r="http://schemas.openxmlformats.org/officeDocument/2006/relationships" ref="R17" r:id="rId16"/>
    <hyperlink xmlns:r="http://schemas.openxmlformats.org/officeDocument/2006/relationships" ref="R18" r:id="rId17"/>
    <hyperlink xmlns:r="http://schemas.openxmlformats.org/officeDocument/2006/relationships" ref="R19" r:id="rId18"/>
    <hyperlink xmlns:r="http://schemas.openxmlformats.org/officeDocument/2006/relationships" ref="R20" r:id="rId19"/>
    <hyperlink xmlns:r="http://schemas.openxmlformats.org/officeDocument/2006/relationships" ref="R21" r:id="rId20"/>
    <hyperlink xmlns:r="http://schemas.openxmlformats.org/officeDocument/2006/relationships" ref="R22" r:id="rId21"/>
    <hyperlink xmlns:r="http://schemas.openxmlformats.org/officeDocument/2006/relationships" ref="R23" r:id="rId22"/>
    <hyperlink xmlns:r="http://schemas.openxmlformats.org/officeDocument/2006/relationships" ref="R24" r:id="rId23"/>
    <hyperlink xmlns:r="http://schemas.openxmlformats.org/officeDocument/2006/relationships" ref="R25" r:id="rId24"/>
    <hyperlink xmlns:r="http://schemas.openxmlformats.org/officeDocument/2006/relationships" ref="R26" r:id="rId25"/>
    <hyperlink xmlns:r="http://schemas.openxmlformats.org/officeDocument/2006/relationships" ref="R27" r:id="rId26"/>
    <hyperlink xmlns:r="http://schemas.openxmlformats.org/officeDocument/2006/relationships" ref="R28" r:id="rId27"/>
    <hyperlink xmlns:r="http://schemas.openxmlformats.org/officeDocument/2006/relationships" ref="R29" r:id="rId28"/>
    <hyperlink xmlns:r="http://schemas.openxmlformats.org/officeDocument/2006/relationships" ref="R30" r:id="rId29"/>
    <hyperlink xmlns:r="http://schemas.openxmlformats.org/officeDocument/2006/relationships" ref="R31" r:id="rId30"/>
    <hyperlink xmlns:r="http://schemas.openxmlformats.org/officeDocument/2006/relationships" ref="R32" r:id="rId31"/>
    <hyperlink xmlns:r="http://schemas.openxmlformats.org/officeDocument/2006/relationships" ref="R33" r:id="rId32"/>
    <hyperlink xmlns:r="http://schemas.openxmlformats.org/officeDocument/2006/relationships" ref="R34" r:id="rId33"/>
    <hyperlink xmlns:r="http://schemas.openxmlformats.org/officeDocument/2006/relationships" ref="R35" r:id="rId34"/>
    <hyperlink xmlns:r="http://schemas.openxmlformats.org/officeDocument/2006/relationships" ref="R36" r:id="rId35"/>
    <hyperlink xmlns:r="http://schemas.openxmlformats.org/officeDocument/2006/relationships" ref="R37" r:id="rId36"/>
    <hyperlink xmlns:r="http://schemas.openxmlformats.org/officeDocument/2006/relationships" ref="R38" r:id="rId37"/>
    <hyperlink xmlns:r="http://schemas.openxmlformats.org/officeDocument/2006/relationships" ref="R39" r:id="rId38"/>
    <hyperlink xmlns:r="http://schemas.openxmlformats.org/officeDocument/2006/relationships" ref="R40" r:id="rId39"/>
    <hyperlink xmlns:r="http://schemas.openxmlformats.org/officeDocument/2006/relationships" ref="R41" r:id="rId40"/>
    <hyperlink xmlns:r="http://schemas.openxmlformats.org/officeDocument/2006/relationships" ref="R42" r:id="rId41"/>
    <hyperlink xmlns:r="http://schemas.openxmlformats.org/officeDocument/2006/relationships" ref="R43" r:id="rId42"/>
    <hyperlink xmlns:r="http://schemas.openxmlformats.org/officeDocument/2006/relationships" ref="R44" r:id="rId43"/>
    <hyperlink xmlns:r="http://schemas.openxmlformats.org/officeDocument/2006/relationships" ref="R45" r:id="rId44"/>
    <hyperlink xmlns:r="http://schemas.openxmlformats.org/officeDocument/2006/relationships" ref="R46" r:id="rId45"/>
    <hyperlink xmlns:r="http://schemas.openxmlformats.org/officeDocument/2006/relationships" ref="R47" r:id="rId46"/>
    <hyperlink xmlns:r="http://schemas.openxmlformats.org/officeDocument/2006/relationships" ref="R48" r:id="rId47"/>
    <hyperlink xmlns:r="http://schemas.openxmlformats.org/officeDocument/2006/relationships" ref="R49" r:id="rId48"/>
    <hyperlink xmlns:r="http://schemas.openxmlformats.org/officeDocument/2006/relationships" ref="R50" r:id="rId49"/>
    <hyperlink xmlns:r="http://schemas.openxmlformats.org/officeDocument/2006/relationships" ref="R51" r:id="rId50"/>
  </hyperlinks>
  <pageMargins left="0.75" right="0.75" top="1" bottom="1" header="0.5" footer="0.5"/>
  <tableParts count="1">
    <tablePart xmlns:r="http://schemas.openxmlformats.org/officeDocument/2006/relationships" r:id="rId5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26" customWidth="1" min="3" max="3"/>
    <col width="10" customWidth="1" min="4" max="4"/>
    <col width="16" customWidth="1" min="5" max="5"/>
    <col width="16" customWidth="1" min="6" max="6"/>
    <col width="10" customWidth="1" min="7" max="7"/>
  </cols>
  <sheetData>
    <row r="1">
      <c r="B1" s="16" t="inlineStr">
        <is>
          <t>Independent live re-verification</t>
        </is>
      </c>
    </row>
    <row r="2">
      <c r="B2" s="36" t="inlineStr">
        <is>
          <t>5 rows picked at random (seed 42) from the final 50-row sample, each re-fetched live from its source_filing_url on EDGAR and independently re-parsed, to confirm the CSV matches the live filing.</t>
        </is>
      </c>
    </row>
    <row r="3"/>
    <row r="5">
      <c r="A5" s="17" t="n"/>
      <c r="B5" s="17" t="inlineStr">
        <is>
          <t>Filer</t>
        </is>
      </c>
      <c r="C5" s="17" t="inlineStr">
        <is>
          <t>Issuer (ticker)</t>
        </is>
      </c>
      <c r="D5" s="17" t="inlineStr">
        <is>
          <t>Code match</t>
        </is>
      </c>
      <c r="E5" s="17" t="inlineStr">
        <is>
          <t>Shares match</t>
        </is>
      </c>
      <c r="F5" s="17" t="inlineStr">
        <is>
          <t>Price match</t>
        </is>
      </c>
      <c r="G5" s="17" t="inlineStr">
        <is>
          <t>Result</t>
        </is>
      </c>
    </row>
    <row r="6">
      <c r="B6" s="37" t="inlineStr">
        <is>
          <t>Kraft Robert O.</t>
        </is>
      </c>
      <c r="C6" s="38" t="inlineStr">
        <is>
          <t>Hillman Solutions Corp. (HLMN)</t>
        </is>
      </c>
      <c r="D6" s="39" t="inlineStr">
        <is>
          <t>OK</t>
        </is>
      </c>
      <c r="E6" s="39" t="inlineStr">
        <is>
          <t>OK</t>
        </is>
      </c>
      <c r="F6" s="39" t="inlineStr">
        <is>
          <t>OK</t>
        </is>
      </c>
      <c r="G6" s="40" t="str">
        <f>IF(AND(D6="OK",E6="OK",F6="OK"),"PASS","FAIL")</f>
        <v>PASS</v>
      </c>
    </row>
    <row r="7">
      <c r="B7" s="37" t="inlineStr">
        <is>
          <t>TOTAL S.A.</t>
        </is>
      </c>
      <c r="C7" s="38" t="inlineStr">
        <is>
          <t>SunPower Corp (SPWR)</t>
        </is>
      </c>
      <c r="D7" s="39" t="inlineStr">
        <is>
          <t>OK</t>
        </is>
      </c>
      <c r="E7" s="39" t="inlineStr">
        <is>
          <t>OK</t>
        </is>
      </c>
      <c r="F7" s="39" t="inlineStr">
        <is>
          <t>OK</t>
        </is>
      </c>
      <c r="G7" s="40" t="str">
        <f>IF(AND(D7="OK",E7="OK",F7="OK"),"PASS","FAIL")</f>
        <v>PASS</v>
      </c>
    </row>
    <row r="8">
      <c r="B8" s="37" t="inlineStr">
        <is>
          <t>TOTAL S.A.</t>
        </is>
      </c>
      <c r="C8" s="38" t="inlineStr">
        <is>
          <t>SunPower Corp (SPWR) — 2nd transaction</t>
        </is>
      </c>
      <c r="D8" s="39" t="inlineStr">
        <is>
          <t>OK</t>
        </is>
      </c>
      <c r="E8" s="39" t="inlineStr">
        <is>
          <t>OK</t>
        </is>
      </c>
      <c r="F8" s="39" t="inlineStr">
        <is>
          <t>OK</t>
        </is>
      </c>
      <c r="G8" s="40" t="str">
        <f>IF(AND(D8="OK",E8="OK",F8="OK"),"PASS","FAIL")</f>
        <v>PASS</v>
      </c>
    </row>
    <row r="9">
      <c r="B9" s="37" t="inlineStr">
        <is>
          <t>Livek William Paul</t>
        </is>
      </c>
      <c r="C9" s="38" t="inlineStr">
        <is>
          <t>comScore, Inc. (SCOR)</t>
        </is>
      </c>
      <c r="D9" s="39" t="inlineStr">
        <is>
          <t>OK</t>
        </is>
      </c>
      <c r="E9" s="39" t="inlineStr">
        <is>
          <t>OK</t>
        </is>
      </c>
      <c r="F9" s="39" t="inlineStr">
        <is>
          <t>OK</t>
        </is>
      </c>
      <c r="G9" s="40" t="str">
        <f>IF(AND(D9="OK",E9="OK",F9="OK"),"PASS","FAIL")</f>
        <v>PASS</v>
      </c>
    </row>
    <row r="10">
      <c r="B10" s="37" t="inlineStr">
        <is>
          <t>Hanrahan Daniel J</t>
        </is>
      </c>
      <c r="C10" s="38" t="inlineStr">
        <is>
          <t>Cedar Fair L.P. (FUN)</t>
        </is>
      </c>
      <c r="D10" s="39" t="inlineStr">
        <is>
          <t>OK</t>
        </is>
      </c>
      <c r="E10" s="39" t="inlineStr">
        <is>
          <t>OK</t>
        </is>
      </c>
      <c r="F10" s="39" t="inlineStr">
        <is>
          <t>OK</t>
        </is>
      </c>
      <c r="G10" s="40" t="str">
        <f>IF(AND(D10="OK",E10="OK",F10="OK"),"PASS","FAIL")</f>
        <v>PASS</v>
      </c>
    </row>
    <row r="12">
      <c r="B12" s="41" t="inlineStr">
        <is>
          <t>Overall result:</t>
        </is>
      </c>
      <c r="C12" s="42" t="str">
        <f>IF(COUNTIF(G6:G10,"FAIL")=0,"ALL "&amp;COUNTA(G6:G10)&amp;" ROWS PASSED","AT LEAST ONE ROW FAILED")</f>
        <v>ALL 5 ROWS PASSED</v>
      </c>
      <c r="F12" s="15" t="str">
        <f>COUNTA(G6:G10)&amp;"/"&amp;COUNTA(G6:G10)&amp;" passed"</f>
        <v>5/5 passed</v>
      </c>
    </row>
  </sheetData>
  <mergeCells count="2">
    <mergeCell ref="B2:G3"/>
    <mergeCell ref="B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C2:C3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100" customWidth="1" min="3" max="3"/>
  </cols>
  <sheetData>
    <row r="2">
      <c r="C2" s="43" t="inlineStr">
        <is>
          <t>Methodology &amp; data sources</t>
        </is>
      </c>
    </row>
    <row r="4">
      <c r="C4" s="44" t="inlineStr">
        <is>
          <t>Window</t>
        </is>
      </c>
    </row>
    <row r="5" ht="15" customHeight="1">
      <c r="C5" s="13" t="inlineStr">
        <is>
          <t>Filing dates 2014-01-01 through 2024-06-30.</t>
        </is>
      </c>
    </row>
    <row r="7">
      <c r="C7" s="44" t="inlineStr">
        <is>
          <t>Filing discovery</t>
        </is>
      </c>
    </row>
    <row r="8" ht="42" customHeight="1">
      <c r="C8" s="13" t="inlineStr">
        <is>
          <t>SEC EDGAR full-text search API (efts.sec.gov/LATEST/search-index), one calendar day per query, forms=4. This API caps any single query at 10,000 hits; querying one day at a time (≈500–700 Form 4 filings/business day) stays comfortably under that cap.</t>
        </is>
      </c>
    </row>
    <row r="10">
      <c r="C10" s="44" t="inlineStr">
        <is>
          <t>Transaction data</t>
        </is>
      </c>
    </row>
    <row r="11" ht="42" customHeight="1">
      <c r="C11" s="13" t="inlineStr">
        <is>
          <t>Each filing's primary ownershipDocument XML, fetched directly from sec.gov/Archives/edgar/data/{CIK}/{accession}/{filename}. Exhibits attached to the same accession (e.g. powers of attorney) are excluded via the search hit's file_type field.</t>
        </is>
      </c>
    </row>
    <row r="13">
      <c r="C13" s="44" t="inlineStr">
        <is>
          <t>Market cap</t>
        </is>
      </c>
    </row>
    <row r="14" ht="70" customHeight="1">
      <c r="C14" s="13" t="inlineStr">
        <is>
          <t>SEC XBRL company facts API (data.sec.gov/api/xbrl/companyfacts), field dei:EntityCommonStockSharesOutstanding (falls back to us-gaap:CommonStockSharesOutstanding), nearest value at/before the filing date, × the transaction's own reported price-per-share. No independent market-data API was reachable from the environment (stooq.com returned a bot-check page, not data) — the insider's own execution price is used as the filing-date price proxy. This is a documented approximation, not an independently-sourced closing price.</t>
        </is>
      </c>
    </row>
    <row r="16">
      <c r="C16" s="44" t="inlineStr">
        <is>
          <t>Exchange</t>
        </is>
      </c>
    </row>
    <row r="17" ht="98" customHeight="1">
      <c r="C17" s="13" t="inlineStr">
        <is>
          <t>SEC's own company_tickers_exchange.json (current-day snapshot). IMPORTANT: this file only reflects companies listed TODAY, so an issuer delisted/bankrupt/acquired since its filing date would silently vanish from a naive check even if it was legitimately NYSE/Nasdaq-listed at filing time (confirmed on Revlon and Ion Geophysical, both since delisted). Fallback: the filing's own SEC Exchange Act file number — a "001-" prefix means the issuer was registered under Section 12(b) (exchange-listed) AT FILING TIME. This recovers legitimately-listed-at-the-time issuers but can't distinguish NYSE vs Nasdaq vs a minor exchange for delisted issuers — those rows are labelled accordingly in the Sample Data sheet.</t>
        </is>
      </c>
    </row>
    <row r="19">
      <c r="C19" s="44" t="inlineStr">
        <is>
          <t>Opportunistic screen</t>
        </is>
      </c>
    </row>
    <row r="20" ht="56" customHeight="1">
      <c r="C20" s="13" t="inlineStr">
        <is>
          <t>Purchase value ≥ 2× the filer's own median PRIOR open-market purchase, or their first recorded purchase. History = that filer's own code-P non-derivative transactions from up to 20 of their most recent Form 4 filings strictly before the current filing date (capped for request-volume reasons — a documented approximation, not guaranteed full-lifetime history).</t>
        </is>
      </c>
    </row>
    <row r="22">
      <c r="C22" s="44" t="inlineStr">
        <is>
          <t>Rule 10b5-1 detection</t>
        </is>
      </c>
    </row>
    <row r="23" ht="42" customHeight="1">
      <c r="C23" s="13" t="inlineStr">
        <is>
          <t>The document-level checkbox added to the Form 4 schema in Feb 2023 when present; for older filings, a case-insensitive scan of the filing's footnote text for "10b5-1" as a fallback. This will miss a 10b5-1 trade whose footnote never uses that exact string — a known limitation.</t>
        </is>
      </c>
    </row>
    <row r="25">
      <c r="C25" s="44" t="inlineStr">
        <is>
          <t>Sampling design (seed = 42)</t>
        </is>
      </c>
    </row>
    <row r="26" ht="98" customHeight="1">
      <c r="C26" s="13" t="inlineStr">
        <is>
          <t>The full population of Form 4 filings in this window (&gt;1,000,000 filings, estimated) is far larger than can be exhaustively fetched under SEC's &lt;10 req/s rate limit in one working session. This is a two-stage cluster random sample: Stage A shuffles the full list of business days in the window with random.Random(42).shuffle(); Stage B takes a full census of every Form 4 filing on each sampled day (no further within-day subsampling). Days were drawn and processed one at a time until the survivor pool reached a buffer above the 40-50 target (13 days were needed). Genuinely random, reproducible from the seed and the committed pipeline code — not curated.</t>
        </is>
      </c>
    </row>
    <row r="28">
      <c r="C28" s="44" t="inlineStr">
        <is>
          <t>Duplicate rows found &amp; fixed</t>
        </is>
      </c>
    </row>
    <row r="29" ht="70" customHeight="1">
      <c r="C29" s="13" t="inlineStr">
        <is>
          <t>A post-run sanity check found 2 exact-duplicate transaction rows in the raw 55 pre-sample survivors. One was a pipeline bug (EDGAR search returning the same filing twice on a pagination tie, now fixed at the source). One was a genuine artifact in a live SEC filing — confirmed by hand — listing an identical transaction line twice. Both are fixed in the committed pipeline for future runs; this run's data was corrected directly (55 → 53 unique) before the final 50-row sample was drawn.</t>
        </is>
      </c>
    </row>
    <row r="31">
      <c r="C31" s="44" t="inlineStr">
        <is>
          <t>Verification</t>
        </is>
      </c>
    </row>
    <row r="32" ht="56" customHeight="1">
      <c r="C32" s="13" t="inlineStr">
        <is>
          <t>Before any data pull: known filings (Apple, Microsoft) were fetched and checked for issuer-specific content, to rule out a cached/generic-response failure mode. Every HTTP request made by the pipeline is logged with its exact URL and a fingerprint of the response. After the pull: 5 rows picked at random (seed 42) from the final CSV were independently re-fetched live and re-parsed — see the Verification sheet. All 5 passed.</t>
        </is>
      </c>
    </row>
    <row r="34">
      <c r="C34" s="44" t="inlineStr">
        <is>
          <t>Not automated (by design)</t>
        </is>
      </c>
    </row>
    <row r="35" ht="28" customHeight="1">
      <c r="C35" s="13" t="inlineStr">
        <is>
          <t>"Was this person a proven founder/operator" was NOT attempted here — that is an explicitly manual, later research step per the task brief, not something to automate or guess at.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2026-08-18T11:01:54Z</dcterms:created>
  <dcterms:modified xsi:type="dcterms:W3CDTF">2026-08-18T11:01:54Z</dcterms:modified>
</cp:coreProperties>
</file>